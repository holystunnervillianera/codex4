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b9c0250b745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dea2ce7cee84e34"/>
    <x:sheet xmlns:r="http://schemas.openxmlformats.org/officeDocument/2006/relationships" name="Assessment" sheetId="2" r:id="R821852af2711495d"/>
    <x:sheet xmlns:r="http://schemas.openxmlformats.org/officeDocument/2006/relationships" name="Authorization Tests" sheetId="3" r:id="Re20a77de8062457b"/>
    <x:sheet xmlns:r="http://schemas.openxmlformats.org/officeDocument/2006/relationships" name="Regression Tests" sheetId="4" r:id="R23fc6b1cd2f34033"/>
    <x:sheet xmlns:r="http://schemas.openxmlformats.org/officeDocument/2006/relationships" name="Release Evidence" sheetId="5" r:id="R6f586a3b2a614535"/>
    <x:sheet xmlns:r="http://schemas.openxmlformats.org/officeDocument/2006/relationships" name="Lists" sheetId="6" r:id="Rb441b3c6f61647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b/>
      <x:sz val="11"/>
      <x:name val="Carlito"/>
    </x:font>
    <x:font>
      <x:b/>
      <x:sz val="1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1220"/>
      </x:patternFill>
    </x:fill>
    <x:fill>
      <x:patternFill patternType="solid">
        <x:fgColor rgb="0E7490"/>
      </x:patternFill>
    </x:fill>
    <x:fill>
      <x:patternFill patternType="solid">
        <x:fgColor rgb="E2E8F0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FFFFFF"/>
      </x:font>
      <x:fill>
        <x:patternFill patternType="solid">
          <x:bgColor rgb="7F1D1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a40f601296481e" /><Relationship Type="http://schemas.openxmlformats.org/officeDocument/2006/relationships/theme" Target="/xl/theme/theme1.xml" Id="R5e3da468467c4d53" /><Relationship Type="http://schemas.openxmlformats.org/officeDocument/2006/relationships/sharedStrings" Target="/xl/sharedStrings.xml" Id="Rd9be0460ab1a4756" /><Relationship Type="http://schemas.openxmlformats.org/officeDocument/2006/relationships/worksheet" Target="/xl/worksheets/sheet1.xml" Id="Rddea2ce7cee84e34" /><Relationship Type="http://schemas.openxmlformats.org/officeDocument/2006/relationships/worksheet" Target="/xl/worksheets/sheet2.xml" Id="R821852af2711495d" /><Relationship Type="http://schemas.openxmlformats.org/officeDocument/2006/relationships/worksheet" Target="/xl/worksheets/sheet3.xml" Id="Re20a77de8062457b" /><Relationship Type="http://schemas.openxmlformats.org/officeDocument/2006/relationships/worksheet" Target="/xl/worksheets/sheet4.xml" Id="R23fc6b1cd2f34033" /><Relationship Type="http://schemas.openxmlformats.org/officeDocument/2006/relationships/worksheet" Target="/xl/worksheets/sheet5.xml" Id="R6f586a3b2a614535" /><Relationship Type="http://schemas.openxmlformats.org/officeDocument/2006/relationships/worksheet" Target="/xl/worksheets/sheet6.xml" Id="Rb441b3c6f61647e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7b8049ef9a467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Readiness by control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Earned</c:v>
          </c:tx>
          <c:cat>
            <c:strRef>
              <c:f>'Dashboard'!$A$13:$A$22</c:f>
              <c:strCache>
                <c:ptCount val="0"/>
              </c:strCache>
            </c:strRef>
          </c:cat>
          <c:val>
            <c:numRef>
              <c:f>'Dashboard'!$B$13:$B$22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Available</c:v>
          </c:tx>
          <c:cat>
            <c:strRef>
              <c:f>'Dashboard'!$A$13:$A$22</c:f>
              <c:strCache>
                <c:ptCount val="0"/>
              </c:strCache>
            </c:strRef>
          </c:cat>
          <c:val>
            <c:numRef>
              <c:f>'Dashboard'!$C$13:$C$22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Category score</c:v>
          </c:tx>
          <c:cat>
            <c:strRef>
              <c:f>'Dashboard'!$A$13:$A$22</c:f>
              <c:strCache>
                <c:ptCount val="0"/>
              </c:strCache>
            </c:strRef>
          </c:cat>
          <c:val>
            <c:numRef>
              <c:f>'Dashboard'!$D$13:$D$22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7b8049ef9a467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ssessmentTable" displayName="AssessmentTable" ref="A1:L69" headerRowCount="1">
  <x:tableColumns count="12">
    <x:tableColumn id="1" name="ID"/>
    <x:tableColumn id="2" name="Category"/>
    <x:tableColumn id="3" name="Launch-readiness check"/>
    <x:tableColumn id="4" name="Severity"/>
    <x:tableColumn id="5" name="Weight"/>
    <x:tableColumn id="6" name="Response"/>
    <x:tableColumn id="7" name="Evidence / notes"/>
    <x:tableColumn id="8" name="Owner"/>
    <x:tableColumn id="9" name="Due date"/>
    <x:tableColumn id="10" name="Earned"/>
    <x:tableColumn id="11" name="Available"/>
    <x:tableColumn id="12" name="Why it matters"/>
  </x:tableColumns>
  <x:tableStyleInfo name="TableStyleMedium2" showRowStripes="1"/>
</x:table>
</file>

<file path=xl/tables/table2.xml><?xml version="1.0" encoding="utf-8"?>
<x:table xmlns:x="http://schemas.openxmlformats.org/spreadsheetml/2006/main" id="2" name="AuthorizationTests" displayName="AuthorizationTests" ref="A1:H13" headerRowCount="1">
  <x:tableColumns count="8">
    <x:tableColumn id="1" name="Test ID"/>
    <x:tableColumn id="2" name="Actor"/>
    <x:tableColumn id="3" name="Resource / action"/>
    <x:tableColumn id="4" name="Expected result"/>
    <x:tableColumn id="5" name="Actual result"/>
    <x:tableColumn id="6" name="Pass/Fail"/>
    <x:tableColumn id="7" name="Evidence"/>
    <x:tableColumn id="8" name="Owner"/>
  </x:tableColumns>
  <x:tableStyleInfo name="TableStyleMedium2" showRowStripes="1"/>
</x:table>
</file>

<file path=xl/tables/table3.xml><?xml version="1.0" encoding="utf-8"?>
<x:table xmlns:x="http://schemas.openxmlformats.org/spreadsheetml/2006/main" id="3" name="RegressionTests" displayName="RegressionTests" ref="A1:I11" headerRowCount="1">
  <x:tableColumns count="9">
    <x:tableColumn id="1" name="Test ID"/>
    <x:tableColumn id="2" name="Feature / journey"/>
    <x:tableColumn id="3" name="Precondition"/>
    <x:tableColumn id="4" name="Steps"/>
    <x:tableColumn id="5" name="Expected result"/>
    <x:tableColumn id="6" name="Priority"/>
    <x:tableColumn id="7" name="Status"/>
    <x:tableColumn id="8" name="Last run"/>
    <x:tableColumn id="9" name="Evidence link / note"/>
  </x:tableColumns>
  <x:tableStyleInfo name="TableStyleMedium2" showRowStripes="1"/>
</x:table>
</file>

<file path=xl/tables/table4.xml><?xml version="1.0" encoding="utf-8"?>
<x:table xmlns:x="http://schemas.openxmlformats.org/spreadsheetml/2006/main" id="4" name="ReleaseEvidence" displayName="ReleaseEvidence" ref="A1:H10" headerRowCount="1">
  <x:tableColumns count="8">
    <x:tableColumn id="1" name="Evidence ID"/>
    <x:tableColumn id="2" name="Requirement / claim"/>
    <x:tableColumn id="3" name="Required proof"/>
    <x:tableColumn id="4" name="Result"/>
    <x:tableColumn id="5" name="Location / link"/>
    <x:tableColumn id="6" name="Reviewer"/>
    <x:tableColumn id="7" name="Reviewed date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ea024a9b3b54e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a79036a13448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5d424e475946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52682319d144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ac26c560014e33" /></Relationships>
</file>

<file path=xl/worksheets/sheet1.xml><?xml version="1.0" encoding="utf-8"?>
<x:worksheet xmlns:x="http://schemas.openxmlformats.org/spreadsheetml/2006/main">
  <x:sheetFormatPr defaultRowHeight="15"/>
  <x:cols>
    <x:col min="4" max="4" width="16" hidden="0" customWidth="1"/>
    <x:col min="5" max="5" width="12" hidden="0" customWidth="1"/>
    <x:col min="6" max="6" width="55" hidden="0" customWidth="1"/>
    <x:col min="1" max="1" width="30" hidden="0" customWidth="1"/>
    <x:col min="2" max="2" width="16" hidden="0" customWidth="1"/>
    <x:col min="3" max="3" width="16" hidden="0" customWidth="1"/>
  </x:cols>
  <x:sheetData>
    <x:row r="1">
      <x:c r="A1" s="18" t="str">
        <x:v>SHIPSAFE AI - LAUNCH READINESS CONTROL BOARD</x:v>
      </x:c>
      <x:c r="B1" s="18"/>
      <x:c r="C1" s="18"/>
      <x:c r="D1" s="18"/>
      <x:c r="E1" s="18"/>
      <x:c r="F1" s="18"/>
      <x:c r="G1" s="18"/>
      <x:c r="H1" s="18"/>
    </x:row>
    <x:row r="2">
      <x:c r="A2" s="18"/>
      <x:c r="B2" s="18"/>
      <x:c r="C2" s="18"/>
      <x:c r="D2" s="18"/>
      <x:c r="E2" s="18"/>
      <x:c r="F2" s="18"/>
      <x:c r="G2" s="18"/>
      <x:c r="H2" s="18"/>
    </x:row>
    <x:row r="4">
      <x:c r="A4" s="23" t="str">
        <x:v>Metric</x:v>
      </x:c>
      <x:c r="B4" s="23" t="str">
        <x:v>Result</x:v>
      </x:c>
      <x:c r="D4" s="36" t="str">
        <x:v>Threshold</x:v>
      </x:c>
      <x:c r="E4" s="36" t="str">
        <x:v>Score</x:v>
      </x:c>
      <x:c r="F4" s="36" t="str">
        <x:v>Meaning</x:v>
      </x:c>
      <x:c r="G4" t="str"/>
      <x:c r="H4" t="str"/>
    </x:row>
    <x:row r="5">
      <x:c r="A5" s="27" t="str">
        <x:v>Readiness score</x:v>
      </x:c>
      <x:c r="B5" s="30" t="n">
        <x:f>IFERROR(SUM(Assessment!J2:J69)/SUM(Assessment!K2:K69),0)</x:f>
        <x:v>0</x:v>
      </x:c>
      <x:c r="D5" s="12" t="str">
        <x:v>Launch ready</x:v>
      </x:c>
      <x:c r="E5" s="37" t="n">
        <x:v>0.95</x:v>
      </x:c>
      <x:c r="F5" s="12" t="str">
        <x:v>All critical controls pass; only accepted residual risk remains.</x:v>
      </x:c>
    </x:row>
    <x:row r="6">
      <x:c r="A6" s="27" t="str">
        <x:v>Launch decision</x:v>
      </x:c>
      <x:c r="B6" s="33" t="str">
        <x:f>IF(B5&gt;=0.95,"LAUNCH READY",IF(B5&gt;=0.85,"CONDITIONAL LAUNCH",IF(B5&gt;=0.70,"STAGING READY",IF(B5&gt;=0.50,"HIGH RISK","STOP - NOT READY"))))</x:f>
        <x:v>STOP - NOT READY</x:v>
      </x:c>
      <x:c r="D6" s="12" t="str">
        <x:v>Conditional launch</x:v>
      </x:c>
      <x:c r="E6" s="37" t="n">
        <x:v>0.85</x:v>
      </x:c>
      <x:c r="F6" s="12" t="str">
        <x:v>Launch only with written acceptance of remaining non-critical risk.</x:v>
      </x:c>
    </x:row>
    <x:row r="7">
      <x:c r="A7" s="27" t="str">
        <x:v>Critical failures</x:v>
      </x:c>
      <x:c r="B7" t="n">
        <x:f>COUNTIFS(Assessment!D2:D69,"Critical",Assessment!F2:F69,"Fail")</x:f>
        <x:v>0</x:v>
      </x:c>
      <x:c r="D7" s="12" t="str">
        <x:v>Staging ready</x:v>
      </x:c>
      <x:c r="E7" s="37" t="n">
        <x:v>0.7</x:v>
      </x:c>
      <x:c r="F7" s="12" t="str">
        <x:v>Suitable for controlled testing, not unrestricted public launch.</x:v>
      </x:c>
    </x:row>
    <x:row r="8">
      <x:c r="A8" s="27" t="str">
        <x:v>Unknown checks</x:v>
      </x:c>
      <x:c r="B8" t="n">
        <x:f>COUNTIF(Assessment!F2:F69,"Unknown")</x:f>
        <x:v>68</x:v>
      </x:c>
      <x:c r="D8" s="12" t="str">
        <x:v>High risk</x:v>
      </x:c>
      <x:c r="E8" s="37" t="n">
        <x:v>0.5</x:v>
      </x:c>
      <x:c r="F8" s="12" t="str">
        <x:v>Material controls are missing or unknown.</x:v>
      </x:c>
    </x:row>
    <x:row r="9">
      <x:c r="A9" s="27" t="str">
        <x:v>Completed checks</x:v>
      </x:c>
      <x:c r="B9" t="n">
        <x:f>COUNTIF(Assessment!F2:F69,"Pass")</x:f>
        <x:v>0</x:v>
      </x:c>
      <x:c r="D9" s="12" t="str">
        <x:v>Stop - not ready</x:v>
      </x:c>
      <x:c r="E9" s="37" t="n">
        <x:v>0</x:v>
      </x:c>
      <x:c r="F9" s="12" t="str">
        <x:v>Do not launch until critical failures are resolved.</x:v>
      </x:c>
    </x:row>
    <x:row r="12">
      <x:c r="A12" s="3" t="str">
        <x:v>Category</x:v>
      </x:c>
      <x:c r="B12" s="3" t="str">
        <x:v>Earned</x:v>
      </x:c>
      <x:c r="C12" s="3" t="str">
        <x:v>Available</x:v>
      </x:c>
      <x:c r="D12" s="3" t="str">
        <x:v>Category score</x:v>
      </x:c>
    </x:row>
    <x:row r="13">
      <x:c r="A13" t="str">
        <x:v>Scope &amp; Change Control</x:v>
      </x:c>
      <x:c r="B13" t="n">
        <x:f>SUMIF(Assessment!B:B,A13,Assessment!J:J)</x:f>
        <x:v>0</x:v>
      </x:c>
      <x:c r="C13" t="n">
        <x:f>SUMIF(Assessment!B:B,A13,Assessment!K:K)</x:f>
        <x:v>23</x:v>
      </x:c>
      <x:c r="D13" s="30" t="n">
        <x:f>IFERROR(B13/C13,0)</x:f>
        <x:v>0</x:v>
      </x:c>
    </x:row>
    <x:row r="14">
      <x:c r="A14" t="str">
        <x:v>Source Control &amp; Recovery</x:v>
      </x:c>
      <x:c r="B14" t="n">
        <x:f>SUMIF(Assessment!B:B,A14,Assessment!J:J)</x:f>
        <x:v>0</x:v>
      </x:c>
      <x:c r="C14" t="n">
        <x:f>SUMIF(Assessment!B:B,A14,Assessment!K:K)</x:f>
        <x:v>26</x:v>
      </x:c>
      <x:c r="D14" s="30" t="n">
        <x:f>IFERROR(B14/C14,0)</x:f>
        <x:v>0</x:v>
      </x:c>
    </x:row>
    <x:row r="15">
      <x:c r="A15" t="str">
        <x:v>Functional Correctness</x:v>
      </x:c>
      <x:c r="B15" t="n">
        <x:f>SUMIF(Assessment!B:B,A15,Assessment!J:J)</x:f>
        <x:v>0</x:v>
      </x:c>
      <x:c r="C15" t="n">
        <x:f>SUMIF(Assessment!B:B,A15,Assessment!K:K)</x:f>
        <x:v>30</x:v>
      </x:c>
      <x:c r="D15" s="30" t="n">
        <x:f>IFERROR(B15/C15,0)</x:f>
        <x:v>0</x:v>
      </x:c>
    </x:row>
    <x:row r="16">
      <x:c r="A16" t="str">
        <x:v>Authentication &amp; Authorization</x:v>
      </x:c>
      <x:c r="B16" t="n">
        <x:f>SUMIF(Assessment!B:B,A16,Assessment!J:J)</x:f>
        <x:v>0</x:v>
      </x:c>
      <x:c r="C16" t="n">
        <x:f>SUMIF(Assessment!B:B,A16,Assessment!K:K)</x:f>
        <x:v>36</x:v>
      </x:c>
      <x:c r="D16" s="30" t="n">
        <x:f>IFERROR(B16/C16,0)</x:f>
        <x:v>0</x:v>
      </x:c>
    </x:row>
    <x:row r="17">
      <x:c r="A17" t="str">
        <x:v>Data &amp; Privacy</x:v>
      </x:c>
      <x:c r="B17" t="n">
        <x:f>SUMIF(Assessment!B:B,A17,Assessment!J:J)</x:f>
        <x:v>0</x:v>
      </x:c>
      <x:c r="C17" t="n">
        <x:f>SUMIF(Assessment!B:B,A17,Assessment!K:K)</x:f>
        <x:v>22</x:v>
      </x:c>
      <x:c r="D17" s="30" t="n">
        <x:f>IFERROR(B17/C17,0)</x:f>
        <x:v>0</x:v>
      </x:c>
    </x:row>
    <x:row r="18">
      <x:c r="A18" t="str">
        <x:v>Secrets &amp; Dependencies</x:v>
      </x:c>
      <x:c r="B18" t="n">
        <x:f>SUMIF(Assessment!B:B,A18,Assessment!J:J)</x:f>
        <x:v>0</x:v>
      </x:c>
      <x:c r="C18" t="n">
        <x:f>SUMIF(Assessment!B:B,A18,Assessment!K:K)</x:f>
        <x:v>26</x:v>
      </x:c>
      <x:c r="D18" s="30" t="n">
        <x:f>IFERROR(B18/C18,0)</x:f>
        <x:v>0</x:v>
      </x:c>
    </x:row>
    <x:row r="19">
      <x:c r="A19" t="str">
        <x:v>Input, Output &amp; AI Safety</x:v>
      </x:c>
      <x:c r="B19" t="n">
        <x:f>SUMIF(Assessment!B:B,A19,Assessment!J:J)</x:f>
        <x:v>0</x:v>
      </x:c>
      <x:c r="C19" t="n">
        <x:f>SUMIF(Assessment!B:B,A19,Assessment!K:K)</x:f>
        <x:v>36</x:v>
      </x:c>
      <x:c r="D19" s="30" t="n">
        <x:f>IFERROR(B19/C19,0)</x:f>
        <x:v>0</x:v>
      </x:c>
    </x:row>
    <x:row r="20">
      <x:c r="A20" t="str">
        <x:v>Error Handling &amp; Observability</x:v>
      </x:c>
      <x:c r="B20" t="n">
        <x:f>SUMIF(Assessment!B:B,A20,Assessment!J:J)</x:f>
        <x:v>0</x:v>
      </x:c>
      <x:c r="C20" t="n">
        <x:f>SUMIF(Assessment!B:B,A20,Assessment!K:K)</x:f>
        <x:v>19</x:v>
      </x:c>
      <x:c r="D20" s="30" t="n">
        <x:f>IFERROR(B20/C20,0)</x:f>
        <x:v>0</x:v>
      </x:c>
    </x:row>
    <x:row r="21">
      <x:c r="A21" t="str">
        <x:v>Deployment &amp; Operations</x:v>
      </x:c>
      <x:c r="B21" t="n">
        <x:f>SUMIF(Assessment!B:B,A21,Assessment!J:J)</x:f>
        <x:v>0</x:v>
      </x:c>
      <x:c r="C21" t="n">
        <x:f>SUMIF(Assessment!B:B,A21,Assessment!K:K)</x:f>
        <x:v>27</x:v>
      </x:c>
      <x:c r="D21" s="30" t="n">
        <x:f>IFERROR(B21/C21,0)</x:f>
        <x:v>0</x:v>
      </x:c>
    </x:row>
    <x:row r="22">
      <x:c r="A22" t="str">
        <x:v>Agent Control &amp; Evidence</x:v>
      </x:c>
      <x:c r="B22" t="n">
        <x:f>SUMIF(Assessment!B:B,A22,Assessment!J:J)</x:f>
        <x:v>0</x:v>
      </x:c>
      <x:c r="C22" t="n">
        <x:f>SUMIF(Assessment!B:B,A22,Assessment!K:K)</x:f>
        <x:v>28</x:v>
      </x:c>
      <x:c r="D22" s="30" t="n">
        <x:f>IFERROR(B22/C22,0)</x:f>
        <x:v>0</x:v>
      </x:c>
    </x:row>
  </x:sheetData>
  <x:mergeCells>
    <x:mergeCell ref="A1:H2"/>
  </x:mergeCells>
  <x:conditionalFormatting sqref="B5:B5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D13:D22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bea024a9b3b54e34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A02B93"/>
            </x14:dataBar>
          </x14:cfRule>
          <xm:sqref>D13:D22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55" hidden="0" customWidth="1"/>
    <x:col min="4" max="4" width="12" hidden="0" customWidth="1"/>
    <x:col min="5" max="5" width="9" hidden="0" customWidth="1"/>
    <x:col min="6" max="6" width="13" hidden="0" customWidth="1"/>
    <x:col min="7" max="7" width="42" hidden="0" customWidth="1"/>
    <x:col min="8" max="8" width="18" hidden="0" customWidth="1"/>
    <x:col min="9" max="9" width="13" hidden="0" customWidth="1"/>
    <x:col min="10" max="10" width="10" hidden="0" customWidth="1"/>
    <x:col min="11" max="11" width="10" hidden="0" customWidth="1"/>
    <x:col min="12" max="12" width="46" hidden="0" customWidth="1"/>
  </x:cols>
  <x:sheetData>
    <x:row r="1">
      <x:c r="A1" s="6" t="str">
        <x:v>ID</x:v>
      </x:c>
      <x:c r="B1" s="6" t="str">
        <x:v>Category</x:v>
      </x:c>
      <x:c r="C1" s="6" t="str">
        <x:v>Launch-readiness check</x:v>
      </x:c>
      <x:c r="D1" s="6" t="str">
        <x:v>Severity</x:v>
      </x:c>
      <x:c r="E1" s="6" t="str">
        <x:v>Weight</x:v>
      </x:c>
      <x:c r="F1" s="6" t="str">
        <x:v>Response</x:v>
      </x:c>
      <x:c r="G1" s="6" t="str">
        <x:v>Evidence / notes</x:v>
      </x:c>
      <x:c r="H1" s="6" t="str">
        <x:v>Owner</x:v>
      </x:c>
      <x:c r="I1" s="6" t="str">
        <x:v>Due date</x:v>
      </x:c>
      <x:c r="J1" s="6" t="str">
        <x:v>Earned</x:v>
      </x:c>
      <x:c r="K1" s="6" t="str">
        <x:v>Available</x:v>
      </x:c>
      <x:c r="L1" s="6" t="str">
        <x:v>Why it matters</x:v>
      </x:c>
    </x:row>
    <x:row r="2">
      <x:c r="A2" s="12" t="str">
        <x:v>SR-001</x:v>
      </x:c>
      <x:c r="B2" s="12" t="str">
        <x:v>Scope &amp; Change Control</x:v>
      </x:c>
      <x:c r="C2" s="12" t="str">
        <x:v>A written product objective exists and names the primary user outcome.</x:v>
      </x:c>
      <x:c r="D2" s="12" t="str">
        <x:v>High</x:v>
      </x:c>
      <x:c r="E2" s="12" t="n">
        <x:v>3</x:v>
      </x:c>
      <x:c r="F2" s="12" t="str">
        <x:v>Unknown</x:v>
      </x:c>
      <x:c r="G2" s="12" t="str"/>
      <x:c r="H2" s="12" t="str"/>
      <x:c r="I2" s="14" t="str"/>
      <x:c r="J2" s="12" t="n">
        <x:f>IF(F2="Pass",E2,0)</x:f>
        <x:v>0</x:v>
      </x:c>
      <x:c r="K2" s="12" t="n">
        <x:f>IF(F2="N/A",0,E2)</x:f>
        <x:v>3</x:v>
      </x:c>
      <x:c r="L2" s="12" t="str">
        <x:v>Prevents the agent from optimizing the wrong outcome.</x:v>
      </x:c>
    </x:row>
    <x:row r="3">
      <x:c r="A3" s="12" t="str">
        <x:v>SR-002</x:v>
      </x:c>
      <x:c r="B3" s="12" t="str">
        <x:v>Scope &amp; Change Control</x:v>
      </x:c>
      <x:c r="C3" s="12" t="str">
        <x:v>In-scope features are explicitly listed.</x:v>
      </x:c>
      <x:c r="D3" s="12" t="str">
        <x:v>High</x:v>
      </x:c>
      <x:c r="E3" s="12" t="n">
        <x:v>3</x:v>
      </x:c>
      <x:c r="F3" s="12" t="str">
        <x:v>Unknown</x:v>
      </x:c>
      <x:c r="G3" s="12" t="str"/>
      <x:c r="H3" s="12" t="str"/>
      <x:c r="I3" s="14" t="str"/>
      <x:c r="J3" s="12" t="n">
        <x:f>IF(F3="Pass",E3,0)</x:f>
        <x:v>0</x:v>
      </x:c>
      <x:c r="K3" s="12" t="n">
        <x:f>IF(F3="N/A",0,E3)</x:f>
        <x:v>3</x:v>
      </x:c>
      <x:c r="L3" s="12" t="str">
        <x:v>Stops uncontrolled feature expansion.</x:v>
      </x:c>
    </x:row>
    <x:row r="4">
      <x:c r="A4" s="12" t="str">
        <x:v>SR-003</x:v>
      </x:c>
      <x:c r="B4" s="12" t="str">
        <x:v>Scope &amp; Change Control</x:v>
      </x:c>
      <x:c r="C4" s="12" t="str">
        <x:v>Out-of-scope work is explicitly listed.</x:v>
      </x:c>
      <x:c r="D4" s="12" t="str">
        <x:v>Medium</x:v>
      </x:c>
      <x:c r="E4" s="12" t="n">
        <x:v>2</x:v>
      </x:c>
      <x:c r="F4" s="12" t="str">
        <x:v>Unknown</x:v>
      </x:c>
      <x:c r="G4" s="12" t="str"/>
      <x:c r="H4" s="12" t="str"/>
      <x:c r="I4" s="14" t="str"/>
      <x:c r="J4" s="12" t="n">
        <x:f>IF(F4="Pass",E4,0)</x:f>
        <x:v>0</x:v>
      </x:c>
      <x:c r="K4" s="12" t="n">
        <x:f>IF(F4="N/A",0,E4)</x:f>
        <x:v>2</x:v>
      </x:c>
      <x:c r="L4" s="12" t="str">
        <x:v>Makes boundaries enforceable.</x:v>
      </x:c>
    </x:row>
    <x:row r="5">
      <x:c r="A5" s="12" t="str">
        <x:v>SR-004</x:v>
      </x:c>
      <x:c r="B5" s="12" t="str">
        <x:v>Scope &amp; Change Control</x:v>
      </x:c>
      <x:c r="C5" s="12" t="str">
        <x:v>Protected features and files are identified.</x:v>
      </x:c>
      <x:c r="D5" s="12" t="str">
        <x:v>Critical</x:v>
      </x:c>
      <x:c r="E5" s="12" t="n">
        <x:v>5</x:v>
      </x:c>
      <x:c r="F5" s="12" t="str">
        <x:v>Unknown</x:v>
      </x:c>
      <x:c r="G5" s="12" t="str"/>
      <x:c r="H5" s="12" t="str"/>
      <x:c r="I5" s="14" t="str"/>
      <x:c r="J5" s="12" t="n">
        <x:f>IF(F5="Pass",E5,0)</x:f>
        <x:v>0</x:v>
      </x:c>
      <x:c r="K5" s="12" t="n">
        <x:f>IF(F5="N/A",0,E5)</x:f>
        <x:v>5</x:v>
      </x:c>
      <x:c r="L5" s="12" t="str">
        <x:v>Prevents working functionality from being casually replaced.</x:v>
      </x:c>
    </x:row>
    <x:row r="6">
      <x:c r="A6" s="12" t="str">
        <x:v>SR-005</x:v>
      </x:c>
      <x:c r="B6" s="12" t="str">
        <x:v>Scope &amp; Change Control</x:v>
      </x:c>
      <x:c r="C6" s="12" t="str">
        <x:v>Every task has testable acceptance criteria.</x:v>
      </x:c>
      <x:c r="D6" s="12" t="str">
        <x:v>Critical</x:v>
      </x:c>
      <x:c r="E6" s="12" t="n">
        <x:v>5</x:v>
      </x:c>
      <x:c r="F6" s="12" t="str">
        <x:v>Unknown</x:v>
      </x:c>
      <x:c r="G6" s="12" t="str"/>
      <x:c r="H6" s="12" t="str"/>
      <x:c r="I6" s="14" t="str"/>
      <x:c r="J6" s="12" t="n">
        <x:f>IF(F6="Pass",E6,0)</x:f>
        <x:v>0</x:v>
      </x:c>
      <x:c r="K6" s="12" t="n">
        <x:f>IF(F6="N/A",0,E6)</x:f>
        <x:v>5</x:v>
      </x:c>
      <x:c r="L6" s="12" t="str">
        <x:v>Defines success independently of the agent's opinion.</x:v>
      </x:c>
    </x:row>
    <x:row r="7">
      <x:c r="A7" s="12" t="str">
        <x:v>SR-006</x:v>
      </x:c>
      <x:c r="B7" s="12" t="str">
        <x:v>Scope &amp; Change Control</x:v>
      </x:c>
      <x:c r="C7" s="12" t="str">
        <x:v>A change must be explained before implementation when it affects auth, data, billing, infrastructure, or public APIs.</x:v>
      </x:c>
      <x:c r="D7" s="12" t="str">
        <x:v>Critical</x:v>
      </x:c>
      <x:c r="E7" s="12" t="n">
        <x:v>5</x:v>
      </x:c>
      <x:c r="F7" s="12" t="str">
        <x:v>Unknown</x:v>
      </x:c>
      <x:c r="G7" s="12" t="str"/>
      <x:c r="H7" s="12" t="str"/>
      <x:c r="I7" s="14" t="str"/>
      <x:c r="J7" s="12" t="n">
        <x:f>IF(F7="Pass",E7,0)</x:f>
        <x:v>0</x:v>
      </x:c>
      <x:c r="K7" s="12" t="n">
        <x:f>IF(F7="N/A",0,E7)</x:f>
        <x:v>5</x:v>
      </x:c>
      <x:c r="L7" s="12" t="str">
        <x:v>Creates a decision gate around high-impact changes.</x:v>
      </x:c>
    </x:row>
    <x:row r="8">
      <x:c r="A8" s="12" t="str">
        <x:v>SR-007</x:v>
      </x:c>
      <x:c r="B8" s="12" t="str">
        <x:v>Source Control &amp; Recovery</x:v>
      </x:c>
      <x:c r="C8" s="12" t="str">
        <x:v>The project is stored in version control.</x:v>
      </x:c>
      <x:c r="D8" s="12" t="str">
        <x:v>Critical</x:v>
      </x:c>
      <x:c r="E8" s="12" t="n">
        <x:v>5</x:v>
      </x:c>
      <x:c r="F8" s="12" t="str">
        <x:v>Unknown</x:v>
      </x:c>
      <x:c r="G8" s="12" t="str"/>
      <x:c r="H8" s="12" t="str"/>
      <x:c r="I8" s="14" t="str"/>
      <x:c r="J8" s="12" t="n">
        <x:f>IF(F8="Pass",E8,0)</x:f>
        <x:v>0</x:v>
      </x:c>
      <x:c r="K8" s="12" t="n">
        <x:f>IF(F8="N/A",0,E8)</x:f>
        <x:v>5</x:v>
      </x:c>
      <x:c r="L8" s="12" t="str">
        <x:v>Recovery requires a trustworthy history.</x:v>
      </x:c>
    </x:row>
    <x:row r="9">
      <x:c r="A9" s="12" t="str">
        <x:v>SR-008</x:v>
      </x:c>
      <x:c r="B9" s="12" t="str">
        <x:v>Source Control &amp; Recovery</x:v>
      </x:c>
      <x:c r="C9" s="12" t="str">
        <x:v>A known-good baseline commit or tag exists.</x:v>
      </x:c>
      <x:c r="D9" s="12" t="str">
        <x:v>Critical</x:v>
      </x:c>
      <x:c r="E9" s="12" t="n">
        <x:v>5</x:v>
      </x:c>
      <x:c r="F9" s="12" t="str">
        <x:v>Unknown</x:v>
      </x:c>
      <x:c r="G9" s="12" t="str"/>
      <x:c r="H9" s="12" t="str"/>
      <x:c r="I9" s="14" t="str"/>
      <x:c r="J9" s="12" t="n">
        <x:f>IF(F9="Pass",E9,0)</x:f>
        <x:v>0</x:v>
      </x:c>
      <x:c r="K9" s="12" t="n">
        <x:f>IF(F9="N/A",0,E9)</x:f>
        <x:v>5</x:v>
      </x:c>
      <x:c r="L9" s="12" t="str">
        <x:v>Establishes the exact recovery target.</x:v>
      </x:c>
    </x:row>
    <x:row r="10">
      <x:c r="A10" s="12" t="str">
        <x:v>SR-009</x:v>
      </x:c>
      <x:c r="B10" s="12" t="str">
        <x:v>Source Control &amp; Recovery</x:v>
      </x:c>
      <x:c r="C10" s="12" t="str">
        <x:v>High-risk work occurs on a separate branch or worktree.</x:v>
      </x:c>
      <x:c r="D10" s="12" t="str">
        <x:v>High</x:v>
      </x:c>
      <x:c r="E10" s="12" t="n">
        <x:v>3</x:v>
      </x:c>
      <x:c r="F10" s="12" t="str">
        <x:v>Unknown</x:v>
      </x:c>
      <x:c r="G10" s="12" t="str"/>
      <x:c r="H10" s="12" t="str"/>
      <x:c r="I10" s="14" t="str"/>
      <x:c r="J10" s="12" t="n">
        <x:f>IF(F10="Pass",E10,0)</x:f>
        <x:v>0</x:v>
      </x:c>
      <x:c r="K10" s="12" t="n">
        <x:f>IF(F10="N/A",0,E10)</x:f>
        <x:v>3</x:v>
      </x:c>
      <x:c r="L10" s="12" t="str">
        <x:v>Isolates experimental changes.</x:v>
      </x:c>
    </x:row>
    <x:row r="11">
      <x:c r="A11" s="12" t="str">
        <x:v>SR-010</x:v>
      </x:c>
      <x:c r="B11" s="12" t="str">
        <x:v>Source Control &amp; Recovery</x:v>
      </x:c>
      <x:c r="C11" s="12" t="str">
        <x:v>Database migrations are versioned and reversible where practical.</x:v>
      </x:c>
      <x:c r="D11" s="12" t="str">
        <x:v>Critical</x:v>
      </x:c>
      <x:c r="E11" s="12" t="n">
        <x:v>5</x:v>
      </x:c>
      <x:c r="F11" s="12" t="str">
        <x:v>Unknown</x:v>
      </x:c>
      <x:c r="G11" s="12" t="str"/>
      <x:c r="H11" s="12" t="str"/>
      <x:c r="I11" s="14" t="str"/>
      <x:c r="J11" s="12" t="n">
        <x:f>IF(F11="Pass",E11,0)</x:f>
        <x:v>0</x:v>
      </x:c>
      <x:c r="K11" s="12" t="n">
        <x:f>IF(F11="N/A",0,E11)</x:f>
        <x:v>5</x:v>
      </x:c>
      <x:c r="L11" s="12" t="str">
        <x:v>Application rollback alone cannot repair destructive data changes.</x:v>
      </x:c>
    </x:row>
    <x:row r="12">
      <x:c r="A12" s="12" t="str">
        <x:v>SR-011</x:v>
      </x:c>
      <x:c r="B12" s="12" t="str">
        <x:v>Source Control &amp; Recovery</x:v>
      </x:c>
      <x:c r="C12" s="12" t="str">
        <x:v>A rollback procedure has been tested, not merely written.</x:v>
      </x:c>
      <x:c r="D12" s="12" t="str">
        <x:v>Critical</x:v>
      </x:c>
      <x:c r="E12" s="12" t="n">
        <x:v>5</x:v>
      </x:c>
      <x:c r="F12" s="12" t="str">
        <x:v>Unknown</x:v>
      </x:c>
      <x:c r="G12" s="12" t="str"/>
      <x:c r="H12" s="12" t="str"/>
      <x:c r="I12" s="14" t="str"/>
      <x:c r="J12" s="12" t="n">
        <x:f>IF(F12="Pass",E12,0)</x:f>
        <x:v>0</x:v>
      </x:c>
      <x:c r="K12" s="12" t="n">
        <x:f>IF(F12="N/A",0,E12)</x:f>
        <x:v>5</x:v>
      </x:c>
      <x:c r="L12" s="12" t="str">
        <x:v>Untested recovery plans often fail under pressure.</x:v>
      </x:c>
    </x:row>
    <x:row r="13">
      <x:c r="A13" s="12" t="str">
        <x:v>SR-012</x:v>
      </x:c>
      <x:c r="B13" s="12" t="str">
        <x:v>Source Control &amp; Recovery</x:v>
      </x:c>
      <x:c r="C13" s="12" t="str">
        <x:v>Uncommitted work is reviewed before any destructive command.</x:v>
      </x:c>
      <x:c r="D13" s="12" t="str">
        <x:v>High</x:v>
      </x:c>
      <x:c r="E13" s="12" t="n">
        <x:v>3</x:v>
      </x:c>
      <x:c r="F13" s="12" t="str">
        <x:v>Unknown</x:v>
      </x:c>
      <x:c r="G13" s="12" t="str"/>
      <x:c r="H13" s="12" t="str"/>
      <x:c r="I13" s="14" t="str"/>
      <x:c r="J13" s="12" t="n">
        <x:f>IF(F13="Pass",E13,0)</x:f>
        <x:v>0</x:v>
      </x:c>
      <x:c r="K13" s="12" t="n">
        <x:f>IF(F13="N/A",0,E13)</x:f>
        <x:v>3</x:v>
      </x:c>
      <x:c r="L13" s="12" t="str">
        <x:v>Prevents accidental loss.</x:v>
      </x:c>
    </x:row>
    <x:row r="14">
      <x:c r="A14" s="12" t="str">
        <x:v>SR-013</x:v>
      </x:c>
      <x:c r="B14" s="12" t="str">
        <x:v>Functional Correctness</x:v>
      </x:c>
      <x:c r="C14" s="12" t="str">
        <x:v>Core user journeys have explicit tests.</x:v>
      </x:c>
      <x:c r="D14" s="12" t="str">
        <x:v>Critical</x:v>
      </x:c>
      <x:c r="E14" s="12" t="n">
        <x:v>5</x:v>
      </x:c>
      <x:c r="F14" s="12" t="str">
        <x:v>Unknown</x:v>
      </x:c>
      <x:c r="G14" s="12" t="str"/>
      <x:c r="H14" s="12" t="str"/>
      <x:c r="I14" s="14" t="str"/>
      <x:c r="J14" s="12" t="n">
        <x:f>IF(F14="Pass",E14,0)</x:f>
        <x:v>0</x:v>
      </x:c>
      <x:c r="K14" s="12" t="n">
        <x:f>IF(F14="N/A",0,E14)</x:f>
        <x:v>5</x:v>
      </x:c>
      <x:c r="L14" s="12" t="str">
        <x:v>A page loading is not proof that the product works.</x:v>
      </x:c>
    </x:row>
    <x:row r="15">
      <x:c r="A15" s="12" t="str">
        <x:v>SR-014</x:v>
      </x:c>
      <x:c r="B15" s="12" t="str">
        <x:v>Functional Correctness</x:v>
      </x:c>
      <x:c r="C15" s="12" t="str">
        <x:v>Tests cover both success and failure paths.</x:v>
      </x:c>
      <x:c r="D15" s="12" t="str">
        <x:v>High</x:v>
      </x:c>
      <x:c r="E15" s="12" t="n">
        <x:v>3</x:v>
      </x:c>
      <x:c r="F15" s="12" t="str">
        <x:v>Unknown</x:v>
      </x:c>
      <x:c r="G15" s="12" t="str"/>
      <x:c r="H15" s="12" t="str"/>
      <x:c r="I15" s="14" t="str"/>
      <x:c r="J15" s="12" t="n">
        <x:f>IF(F15="Pass",E15,0)</x:f>
        <x:v>0</x:v>
      </x:c>
      <x:c r="K15" s="12" t="n">
        <x:f>IF(F15="N/A",0,E15)</x:f>
        <x:v>3</x:v>
      </x:c>
      <x:c r="L15" s="12" t="str">
        <x:v>AI-generated systems often hide failures behind fallbacks.</x:v>
      </x:c>
    </x:row>
    <x:row r="16">
      <x:c r="A16" s="12" t="str">
        <x:v>SR-015</x:v>
      </x:c>
      <x:c r="B16" s="12" t="str">
        <x:v>Functional Correctness</x:v>
      </x:c>
      <x:c r="C16" s="12" t="str">
        <x:v>Mock, demo, fixture, and placeholder data are inventoried.</x:v>
      </x:c>
      <x:c r="D16" s="12" t="str">
        <x:v>Critical</x:v>
      </x:c>
      <x:c r="E16" s="12" t="n">
        <x:v>5</x:v>
      </x:c>
      <x:c r="F16" s="12" t="str">
        <x:v>Unknown</x:v>
      </x:c>
      <x:c r="G16" s="12" t="str"/>
      <x:c r="H16" s="12" t="str"/>
      <x:c r="I16" s="14" t="str"/>
      <x:c r="J16" s="12" t="n">
        <x:f>IF(F16="Pass",E16,0)</x:f>
        <x:v>0</x:v>
      </x:c>
      <x:c r="K16" s="12" t="n">
        <x:f>IF(F16="N/A",0,E16)</x:f>
        <x:v>5</x:v>
      </x:c>
      <x:c r="L16" s="12" t="str">
        <x:v>Prevents simulated success from reaching production.</x:v>
      </x:c>
    </x:row>
    <x:row r="17">
      <x:c r="A17" s="12" t="str">
        <x:v>SR-016</x:v>
      </x:c>
      <x:c r="B17" s="12" t="str">
        <x:v>Functional Correctness</x:v>
      </x:c>
      <x:c r="C17" s="12" t="str">
        <x:v>External integrations are verified against a real test environment.</x:v>
      </x:c>
      <x:c r="D17" s="12" t="str">
        <x:v>High</x:v>
      </x:c>
      <x:c r="E17" s="12" t="n">
        <x:v>3</x:v>
      </x:c>
      <x:c r="F17" s="12" t="str">
        <x:v>Unknown</x:v>
      </x:c>
      <x:c r="G17" s="12" t="str"/>
      <x:c r="H17" s="12" t="str"/>
      <x:c r="I17" s="14" t="str"/>
      <x:c r="J17" s="12" t="n">
        <x:f>IF(F17="Pass",E17,0)</x:f>
        <x:v>0</x:v>
      </x:c>
      <x:c r="K17" s="12" t="n">
        <x:f>IF(F17="N/A",0,E17)</x:f>
        <x:v>3</x:v>
      </x:c>
      <x:c r="L17" s="12" t="str">
        <x:v>Confirms the integration is not only syntactically plausible.</x:v>
      </x:c>
    </x:row>
    <x:row r="18">
      <x:c r="A18" s="12" t="str">
        <x:v>SR-017</x:v>
      </x:c>
      <x:c r="B18" s="12" t="str">
        <x:v>Functional Correctness</x:v>
      </x:c>
      <x:c r="C18" s="12" t="str">
        <x:v>Critical calculations are checked against known examples.</x:v>
      </x:c>
      <x:c r="D18" s="12" t="str">
        <x:v>High</x:v>
      </x:c>
      <x:c r="E18" s="12" t="n">
        <x:v>3</x:v>
      </x:c>
      <x:c r="F18" s="12" t="str">
        <x:v>Unknown</x:v>
      </x:c>
      <x:c r="G18" s="12" t="str"/>
      <x:c r="H18" s="12" t="str"/>
      <x:c r="I18" s="14" t="str"/>
      <x:c r="J18" s="12" t="n">
        <x:f>IF(F18="Pass",E18,0)</x:f>
        <x:v>0</x:v>
      </x:c>
      <x:c r="K18" s="12" t="n">
        <x:f>IF(F18="N/A",0,E18)</x:f>
        <x:v>3</x:v>
      </x:c>
      <x:c r="L18" s="12" t="str">
        <x:v>Detects fabricated or misapplied business logic.</x:v>
      </x:c>
    </x:row>
    <x:row r="19">
      <x:c r="A19" s="12" t="str">
        <x:v>SR-018</x:v>
      </x:c>
      <x:c r="B19" s="12" t="str">
        <x:v>Functional Correctness</x:v>
      </x:c>
      <x:c r="C19" s="12" t="str">
        <x:v>Regression tests protect previously working behavior.</x:v>
      </x:c>
      <x:c r="D19" s="12" t="str">
        <x:v>Critical</x:v>
      </x:c>
      <x:c r="E19" s="12" t="n">
        <x:v>5</x:v>
      </x:c>
      <x:c r="F19" s="12" t="str">
        <x:v>Unknown</x:v>
      </x:c>
      <x:c r="G19" s="12" t="str"/>
      <x:c r="H19" s="12" t="str"/>
      <x:c r="I19" s="14" t="str"/>
      <x:c r="J19" s="12" t="n">
        <x:f>IF(F19="Pass",E19,0)</x:f>
        <x:v>0</x:v>
      </x:c>
      <x:c r="K19" s="12" t="n">
        <x:f>IF(F19="N/A",0,E19)</x:f>
        <x:v>5</x:v>
      </x:c>
      <x:c r="L19" s="12" t="str">
        <x:v>Stops fixes from silently breaking existing features.</x:v>
      </x:c>
    </x:row>
    <x:row r="20">
      <x:c r="A20" s="12" t="str">
        <x:v>SR-019</x:v>
      </x:c>
      <x:c r="B20" s="12" t="str">
        <x:v>Functional Correctness</x:v>
      </x:c>
      <x:c r="C20" s="12" t="str">
        <x:v>The product has been tested from a clean account or browser session.</x:v>
      </x:c>
      <x:c r="D20" s="12" t="str">
        <x:v>High</x:v>
      </x:c>
      <x:c r="E20" s="12" t="n">
        <x:v>3</x:v>
      </x:c>
      <x:c r="F20" s="12" t="str">
        <x:v>Unknown</x:v>
      </x:c>
      <x:c r="G20" s="12" t="str"/>
      <x:c r="H20" s="12" t="str"/>
      <x:c r="I20" s="14" t="str"/>
      <x:c r="J20" s="12" t="n">
        <x:f>IF(F20="Pass",E20,0)</x:f>
        <x:v>0</x:v>
      </x:c>
      <x:c r="K20" s="12" t="n">
        <x:f>IF(F20="N/A",0,E20)</x:f>
        <x:v>3</x:v>
      </x:c>
      <x:c r="L20" s="12" t="str">
        <x:v>Catches hidden dependence on developer state.</x:v>
      </x:c>
    </x:row>
    <x:row r="21">
      <x:c r="A21" s="12" t="str">
        <x:v>SR-020</x:v>
      </x:c>
      <x:c r="B21" s="12" t="str">
        <x:v>Functional Correctness</x:v>
      </x:c>
      <x:c r="C21" s="12" t="str">
        <x:v>The product handles empty, malformed, duplicate, and unusually large inputs.</x:v>
      </x:c>
      <x:c r="D21" s="12" t="str">
        <x:v>High</x:v>
      </x:c>
      <x:c r="E21" s="12" t="n">
        <x:v>3</x:v>
      </x:c>
      <x:c r="F21" s="12" t="str">
        <x:v>Unknown</x:v>
      </x:c>
      <x:c r="G21" s="12" t="str"/>
      <x:c r="H21" s="12" t="str"/>
      <x:c r="I21" s="14" t="str"/>
      <x:c r="J21" s="12" t="n">
        <x:f>IF(F21="Pass",E21,0)</x:f>
        <x:v>0</x:v>
      </x:c>
      <x:c r="K21" s="12" t="n">
        <x:f>IF(F21="N/A",0,E21)</x:f>
        <x:v>3</x:v>
      </x:c>
      <x:c r="L21" s="12" t="str">
        <x:v>Edge cases frequently expose generated-code weaknesses.</x:v>
      </x:c>
    </x:row>
    <x:row r="22">
      <x:c r="A22" s="12" t="str">
        <x:v>SR-021</x:v>
      </x:c>
      <x:c r="B22" s="12" t="str">
        <x:v>Authentication &amp; Authorization</x:v>
      </x:c>
      <x:c r="C22" s="12" t="str">
        <x:v>Unauthenticated behavior is deliberately tested.</x:v>
      </x:c>
      <x:c r="D22" s="12" t="str">
        <x:v>Critical</x:v>
      </x:c>
      <x:c r="E22" s="12" t="n">
        <x:v>5</x:v>
      </x:c>
      <x:c r="F22" s="12" t="str">
        <x:v>Unknown</x:v>
      </x:c>
      <x:c r="G22" s="12" t="str"/>
      <x:c r="H22" s="12" t="str"/>
      <x:c r="I22" s="14" t="str"/>
      <x:c r="J22" s="12" t="n">
        <x:f>IF(F22="Pass",E22,0)</x:f>
        <x:v>0</x:v>
      </x:c>
      <x:c r="K22" s="12" t="n">
        <x:f>IF(F22="N/A",0,E22)</x:f>
        <x:v>5</x:v>
      </x:c>
      <x:c r="L22" s="12" t="str">
        <x:v>Public access must be intentional.</x:v>
      </x:c>
    </x:row>
    <x:row r="23">
      <x:c r="A23" s="12" t="str">
        <x:v>SR-022</x:v>
      </x:c>
      <x:c r="B23" s="12" t="str">
        <x:v>Authentication &amp; Authorization</x:v>
      </x:c>
      <x:c r="C23" s="12" t="str">
        <x:v>A normal user cannot access another user's records.</x:v>
      </x:c>
      <x:c r="D23" s="12" t="str">
        <x:v>Critical</x:v>
      </x:c>
      <x:c r="E23" s="12" t="n">
        <x:v>5</x:v>
      </x:c>
      <x:c r="F23" s="12" t="str">
        <x:v>Unknown</x:v>
      </x:c>
      <x:c r="G23" s="12" t="str"/>
      <x:c r="H23" s="12" t="str"/>
      <x:c r="I23" s="14" t="str"/>
      <x:c r="J23" s="12" t="n">
        <x:f>IF(F23="Pass",E23,0)</x:f>
        <x:v>0</x:v>
      </x:c>
      <x:c r="K23" s="12" t="n">
        <x:f>IF(F23="N/A",0,E23)</x:f>
        <x:v>5</x:v>
      </x:c>
      <x:c r="L23" s="12" t="str">
        <x:v>Object-level authorization failures expose customer data.</x:v>
      </x:c>
    </x:row>
    <x:row r="24">
      <x:c r="A24" s="12" t="str">
        <x:v>SR-023</x:v>
      </x:c>
      <x:c r="B24" s="12" t="str">
        <x:v>Authentication &amp; Authorization</x:v>
      </x:c>
      <x:c r="C24" s="12" t="str">
        <x:v>Admin functions are inaccessible to non-admin users.</x:v>
      </x:c>
      <x:c r="D24" s="12" t="str">
        <x:v>Critical</x:v>
      </x:c>
      <x:c r="E24" s="12" t="n">
        <x:v>5</x:v>
      </x:c>
      <x:c r="F24" s="12" t="str">
        <x:v>Unknown</x:v>
      </x:c>
      <x:c r="G24" s="12" t="str"/>
      <x:c r="H24" s="12" t="str"/>
      <x:c r="I24" s="14" t="str"/>
      <x:c r="J24" s="12" t="n">
        <x:f>IF(F24="Pass",E24,0)</x:f>
        <x:v>0</x:v>
      </x:c>
      <x:c r="K24" s="12" t="n">
        <x:f>IF(F24="N/A",0,E24)</x:f>
        <x:v>5</x:v>
      </x:c>
      <x:c r="L24" s="12" t="str">
        <x:v>UI hiding is not authorization.</x:v>
      </x:c>
    </x:row>
    <x:row r="25">
      <x:c r="A25" s="12" t="str">
        <x:v>SR-024</x:v>
      </x:c>
      <x:c r="B25" s="12" t="str">
        <x:v>Authentication &amp; Authorization</x:v>
      </x:c>
      <x:c r="C25" s="12" t="str">
        <x:v>Server-side authorization is enforced for every sensitive action.</x:v>
      </x:c>
      <x:c r="D25" s="12" t="str">
        <x:v>Critical</x:v>
      </x:c>
      <x:c r="E25" s="12" t="n">
        <x:v>5</x:v>
      </x:c>
      <x:c r="F25" s="12" t="str">
        <x:v>Unknown</x:v>
      </x:c>
      <x:c r="G25" s="12" t="str"/>
      <x:c r="H25" s="12" t="str"/>
      <x:c r="I25" s="14" t="str"/>
      <x:c r="J25" s="12" t="n">
        <x:f>IF(F25="Pass",E25,0)</x:f>
        <x:v>0</x:v>
      </x:c>
      <x:c r="K25" s="12" t="n">
        <x:f>IF(F25="N/A",0,E25)</x:f>
        <x:v>5</x:v>
      </x:c>
      <x:c r="L25" s="12" t="str">
        <x:v>Client-side checks can be bypassed.</x:v>
      </x:c>
    </x:row>
    <x:row r="26">
      <x:c r="A26" s="12" t="str">
        <x:v>SR-025</x:v>
      </x:c>
      <x:c r="B26" s="12" t="str">
        <x:v>Authentication &amp; Authorization</x:v>
      </x:c>
      <x:c r="C26" s="12" t="str">
        <x:v>Account creation, login, logout, reset, and session expiry are tested.</x:v>
      </x:c>
      <x:c r="D26" s="12" t="str">
        <x:v>High</x:v>
      </x:c>
      <x:c r="E26" s="12" t="n">
        <x:v>3</x:v>
      </x:c>
      <x:c r="F26" s="12" t="str">
        <x:v>Unknown</x:v>
      </x:c>
      <x:c r="G26" s="12" t="str"/>
      <x:c r="H26" s="12" t="str"/>
      <x:c r="I26" s="14" t="str"/>
      <x:c r="J26" s="12" t="n">
        <x:f>IF(F26="Pass",E26,0)</x:f>
        <x:v>0</x:v>
      </x:c>
      <x:c r="K26" s="12" t="n">
        <x:f>IF(F26="N/A",0,E26)</x:f>
        <x:v>3</x:v>
      </x:c>
      <x:c r="L26" s="12" t="str">
        <x:v>Auth lifecycle defects lock users out or leave sessions open.</x:v>
      </x:c>
    </x:row>
    <x:row r="27">
      <x:c r="A27" s="12" t="str">
        <x:v>SR-026</x:v>
      </x:c>
      <x:c r="B27" s="12" t="str">
        <x:v>Authentication &amp; Authorization</x:v>
      </x:c>
      <x:c r="C27" s="12" t="str">
        <x:v>Role changes and deleted/suspended accounts are handled correctly.</x:v>
      </x:c>
      <x:c r="D27" s="12" t="str">
        <x:v>High</x:v>
      </x:c>
      <x:c r="E27" s="12" t="n">
        <x:v>3</x:v>
      </x:c>
      <x:c r="F27" s="12" t="str">
        <x:v>Unknown</x:v>
      </x:c>
      <x:c r="G27" s="12" t="str"/>
      <x:c r="H27" s="12" t="str"/>
      <x:c r="I27" s="14" t="str"/>
      <x:c r="J27" s="12" t="n">
        <x:f>IF(F27="Pass",E27,0)</x:f>
        <x:v>0</x:v>
      </x:c>
      <x:c r="K27" s="12" t="n">
        <x:f>IF(F27="N/A",0,E27)</x:f>
        <x:v>3</x:v>
      </x:c>
      <x:c r="L27" s="12" t="str">
        <x:v>Privilege state must remain accurate.</x:v>
      </x:c>
    </x:row>
    <x:row r="28">
      <x:c r="A28" s="12" t="str">
        <x:v>SR-027</x:v>
      </x:c>
      <x:c r="B28" s="12" t="str">
        <x:v>Authentication &amp; Authorization</x:v>
      </x:c>
      <x:c r="C28" s="12" t="str">
        <x:v>Database row-level or equivalent access policies are enabled and tested where applicable.</x:v>
      </x:c>
      <x:c r="D28" s="12" t="str">
        <x:v>Critical</x:v>
      </x:c>
      <x:c r="E28" s="12" t="n">
        <x:v>5</x:v>
      </x:c>
      <x:c r="F28" s="12" t="str">
        <x:v>Unknown</x:v>
      </x:c>
      <x:c r="G28" s="12" t="str"/>
      <x:c r="H28" s="12" t="str"/>
      <x:c r="I28" s="14" t="str"/>
      <x:c r="J28" s="12" t="n">
        <x:f>IF(F28="Pass",E28,0)</x:f>
        <x:v>0</x:v>
      </x:c>
      <x:c r="K28" s="12" t="n">
        <x:f>IF(F28="N/A",0,E28)</x:f>
        <x:v>5</x:v>
      </x:c>
      <x:c r="L28" s="12" t="str">
        <x:v>Data access needs enforcement at the data layer.</x:v>
      </x:c>
    </x:row>
    <x:row r="29">
      <x:c r="A29" s="12" t="str">
        <x:v>SR-028</x:v>
      </x:c>
      <x:c r="B29" s="12" t="str">
        <x:v>Authentication &amp; Authorization</x:v>
      </x:c>
      <x:c r="C29" s="12" t="str">
        <x:v>File/object storage permissions are tested independently from database permissions.</x:v>
      </x:c>
      <x:c r="D29" s="12" t="str">
        <x:v>Critical</x:v>
      </x:c>
      <x:c r="E29" s="12" t="n">
        <x:v>5</x:v>
      </x:c>
      <x:c r="F29" s="12" t="str">
        <x:v>Unknown</x:v>
      </x:c>
      <x:c r="G29" s="12" t="str"/>
      <x:c r="H29" s="12" t="str"/>
      <x:c r="I29" s="14" t="str"/>
      <x:c r="J29" s="12" t="n">
        <x:f>IF(F29="Pass",E29,0)</x:f>
        <x:v>0</x:v>
      </x:c>
      <x:c r="K29" s="12" t="n">
        <x:f>IF(F29="N/A",0,E29)</x:f>
        <x:v>5</x:v>
      </x:c>
      <x:c r="L29" s="12" t="str">
        <x:v>Private tables do not automatically make uploaded files private.</x:v>
      </x:c>
    </x:row>
    <x:row r="30">
      <x:c r="A30" s="12" t="str">
        <x:v>SR-029</x:v>
      </x:c>
      <x:c r="B30" s="12" t="str">
        <x:v>Data &amp; Privacy</x:v>
      </x:c>
      <x:c r="C30" s="12" t="str">
        <x:v>Only data required for the product is collected.</x:v>
      </x:c>
      <x:c r="D30" s="12" t="str">
        <x:v>High</x:v>
      </x:c>
      <x:c r="E30" s="12" t="n">
        <x:v>3</x:v>
      </x:c>
      <x:c r="F30" s="12" t="str">
        <x:v>Unknown</x:v>
      </x:c>
      <x:c r="G30" s="12" t="str"/>
      <x:c r="H30" s="12" t="str"/>
      <x:c r="I30" s="14" t="str"/>
      <x:c r="J30" s="12" t="n">
        <x:f>IF(F30="Pass",E30,0)</x:f>
        <x:v>0</x:v>
      </x:c>
      <x:c r="K30" s="12" t="n">
        <x:f>IF(F30="N/A",0,E30)</x:f>
        <x:v>3</x:v>
      </x:c>
      <x:c r="L30" s="12" t="str">
        <x:v>Data that is never collected cannot be leaked.</x:v>
      </x:c>
    </x:row>
    <x:row r="31">
      <x:c r="A31" s="12" t="str">
        <x:v>SR-030</x:v>
      </x:c>
      <x:c r="B31" s="12" t="str">
        <x:v>Data &amp; Privacy</x:v>
      </x:c>
      <x:c r="C31" s="12" t="str">
        <x:v>Sensitive fields are identified and documented.</x:v>
      </x:c>
      <x:c r="D31" s="12" t="str">
        <x:v>High</x:v>
      </x:c>
      <x:c r="E31" s="12" t="n">
        <x:v>3</x:v>
      </x:c>
      <x:c r="F31" s="12" t="str">
        <x:v>Unknown</x:v>
      </x:c>
      <x:c r="G31" s="12" t="str"/>
      <x:c r="H31" s="12" t="str"/>
      <x:c r="I31" s="14" t="str"/>
      <x:c r="J31" s="12" t="n">
        <x:f>IF(F31="Pass",E31,0)</x:f>
        <x:v>0</x:v>
      </x:c>
      <x:c r="K31" s="12" t="n">
        <x:f>IF(F31="N/A",0,E31)</x:f>
        <x:v>3</x:v>
      </x:c>
      <x:c r="L31" s="12" t="str">
        <x:v>Protection depends on knowing what is sensitive.</x:v>
      </x:c>
    </x:row>
    <x:row r="32">
      <x:c r="A32" s="12" t="str">
        <x:v>SR-031</x:v>
      </x:c>
      <x:c r="B32" s="12" t="str">
        <x:v>Data &amp; Privacy</x:v>
      </x:c>
      <x:c r="C32" s="12" t="str">
        <x:v>Logs, analytics, prompts, and error reports exclude secrets and unnecessary personal data.</x:v>
      </x:c>
      <x:c r="D32" s="12" t="str">
        <x:v>Critical</x:v>
      </x:c>
      <x:c r="E32" s="12" t="n">
        <x:v>5</x:v>
      </x:c>
      <x:c r="F32" s="12" t="str">
        <x:v>Unknown</x:v>
      </x:c>
      <x:c r="G32" s="12" t="str"/>
      <x:c r="H32" s="12" t="str"/>
      <x:c r="I32" s="14" t="str"/>
      <x:c r="J32" s="12" t="n">
        <x:f>IF(F32="Pass",E32,0)</x:f>
        <x:v>0</x:v>
      </x:c>
      <x:c r="K32" s="12" t="n">
        <x:f>IF(F32="N/A",0,E32)</x:f>
        <x:v>5</x:v>
      </x:c>
      <x:c r="L32" s="12" t="str">
        <x:v>Operational systems are common leakage paths.</x:v>
      </x:c>
    </x:row>
    <x:row r="33">
      <x:c r="A33" s="12" t="str">
        <x:v>SR-032</x:v>
      </x:c>
      <x:c r="B33" s="12" t="str">
        <x:v>Data &amp; Privacy</x:v>
      </x:c>
      <x:c r="C33" s="12" t="str">
        <x:v>Data retention and deletion behavior are defined.</x:v>
      </x:c>
      <x:c r="D33" s="12" t="str">
        <x:v>High</x:v>
      </x:c>
      <x:c r="E33" s="12" t="n">
        <x:v>3</x:v>
      </x:c>
      <x:c r="F33" s="12" t="str">
        <x:v>Unknown</x:v>
      </x:c>
      <x:c r="G33" s="12" t="str"/>
      <x:c r="H33" s="12" t="str"/>
      <x:c r="I33" s="14" t="str"/>
      <x:c r="J33" s="12" t="n">
        <x:f>IF(F33="Pass",E33,0)</x:f>
        <x:v>0</x:v>
      </x:c>
      <x:c r="K33" s="12" t="n">
        <x:f>IF(F33="N/A",0,E33)</x:f>
        <x:v>3</x:v>
      </x:c>
      <x:c r="L33" s="12" t="str">
        <x:v>Indefinite retention increases exposure.</x:v>
      </x:c>
    </x:row>
    <x:row r="34">
      <x:c r="A34" s="12" t="str">
        <x:v>SR-033</x:v>
      </x:c>
      <x:c r="B34" s="12" t="str">
        <x:v>Data &amp; Privacy</x:v>
      </x:c>
      <x:c r="C34" s="12" t="str">
        <x:v>Exports and backups are protected and restorable.</x:v>
      </x:c>
      <x:c r="D34" s="12" t="str">
        <x:v>High</x:v>
      </x:c>
      <x:c r="E34" s="12" t="n">
        <x:v>3</x:v>
      </x:c>
      <x:c r="F34" s="12" t="str">
        <x:v>Unknown</x:v>
      </x:c>
      <x:c r="G34" s="12" t="str"/>
      <x:c r="H34" s="12" t="str"/>
      <x:c r="I34" s="14" t="str"/>
      <x:c r="J34" s="12" t="n">
        <x:f>IF(F34="Pass",E34,0)</x:f>
        <x:v>0</x:v>
      </x:c>
      <x:c r="K34" s="12" t="n">
        <x:f>IF(F34="N/A",0,E34)</x:f>
        <x:v>3</x:v>
      </x:c>
      <x:c r="L34" s="12" t="str">
        <x:v>Backups are sensitive copies, not merely operational files.</x:v>
      </x:c>
    </x:row>
    <x:row r="35">
      <x:c r="A35" s="12" t="str">
        <x:v>SR-034</x:v>
      </x:c>
      <x:c r="B35" s="12" t="str">
        <x:v>Data &amp; Privacy</x:v>
      </x:c>
      <x:c r="C35" s="12" t="str">
        <x:v>Production data is not used casually in development or AI prompts.</x:v>
      </x:c>
      <x:c r="D35" s="12" t="str">
        <x:v>Critical</x:v>
      </x:c>
      <x:c r="E35" s="12" t="n">
        <x:v>5</x:v>
      </x:c>
      <x:c r="F35" s="12" t="str">
        <x:v>Unknown</x:v>
      </x:c>
      <x:c r="G35" s="12" t="str"/>
      <x:c r="H35" s="12" t="str"/>
      <x:c r="I35" s="14" t="str"/>
      <x:c r="J35" s="12" t="n">
        <x:f>IF(F35="Pass",E35,0)</x:f>
        <x:v>0</x:v>
      </x:c>
      <x:c r="K35" s="12" t="n">
        <x:f>IF(F35="N/A",0,E35)</x:f>
        <x:v>5</x:v>
      </x:c>
      <x:c r="L35" s="12" t="str">
        <x:v>Development tooling may expand the exposure boundary.</x:v>
      </x:c>
    </x:row>
    <x:row r="36">
      <x:c r="A36" s="12" t="str">
        <x:v>SR-035</x:v>
      </x:c>
      <x:c r="B36" s="12" t="str">
        <x:v>Secrets &amp; Dependencies</x:v>
      </x:c>
      <x:c r="C36" s="12" t="str">
        <x:v>No secret is hardcoded in source files.</x:v>
      </x:c>
      <x:c r="D36" s="12" t="str">
        <x:v>Critical</x:v>
      </x:c>
      <x:c r="E36" s="12" t="n">
        <x:v>5</x:v>
      </x:c>
      <x:c r="F36" s="12" t="str">
        <x:v>Unknown</x:v>
      </x:c>
      <x:c r="G36" s="12" t="str"/>
      <x:c r="H36" s="12" t="str"/>
      <x:c r="I36" s="14" t="str"/>
      <x:c r="J36" s="12" t="n">
        <x:f>IF(F36="Pass",E36,0)</x:f>
        <x:v>0</x:v>
      </x:c>
      <x:c r="K36" s="12" t="n">
        <x:f>IF(F36="N/A",0,E36)</x:f>
        <x:v>5</x:v>
      </x:c>
      <x:c r="L36" s="12" t="str">
        <x:v>Repositories and client bundles are durable leakage paths.</x:v>
      </x:c>
    </x:row>
    <x:row r="37">
      <x:c r="A37" s="12" t="str">
        <x:v>SR-036</x:v>
      </x:c>
      <x:c r="B37" s="12" t="str">
        <x:v>Secrets &amp; Dependencies</x:v>
      </x:c>
      <x:c r="C37" s="12" t="str">
        <x:v>No secret is committed in repository history.</x:v>
      </x:c>
      <x:c r="D37" s="12" t="str">
        <x:v>Critical</x:v>
      </x:c>
      <x:c r="E37" s="12" t="n">
        <x:v>5</x:v>
      </x:c>
      <x:c r="F37" s="12" t="str">
        <x:v>Unknown</x:v>
      </x:c>
      <x:c r="G37" s="12" t="str"/>
      <x:c r="H37" s="12" t="str"/>
      <x:c r="I37" s="14" t="str"/>
      <x:c r="J37" s="12" t="n">
        <x:f>IF(F37="Pass",E37,0)</x:f>
        <x:v>0</x:v>
      </x:c>
      <x:c r="K37" s="12" t="n">
        <x:f>IF(F37="N/A",0,E37)</x:f>
        <x:v>5</x:v>
      </x:c>
      <x:c r="L37" s="12" t="str">
        <x:v>Deleting the current file does not remove historical exposure.</x:v>
      </x:c>
    </x:row>
    <x:row r="38">
      <x:c r="A38" s="12" t="str">
        <x:v>SR-037</x:v>
      </x:c>
      <x:c r="B38" s="12" t="str">
        <x:v>Secrets &amp; Dependencies</x:v>
      </x:c>
      <x:c r="C38" s="12" t="str">
        <x:v>Client-side bundles contain only public-safe configuration.</x:v>
      </x:c>
      <x:c r="D38" s="12" t="str">
        <x:v>Critical</x:v>
      </x:c>
      <x:c r="E38" s="12" t="n">
        <x:v>5</x:v>
      </x:c>
      <x:c r="F38" s="12" t="str">
        <x:v>Unknown</x:v>
      </x:c>
      <x:c r="G38" s="12" t="str"/>
      <x:c r="H38" s="12" t="str"/>
      <x:c r="I38" s="14" t="str"/>
      <x:c r="J38" s="12" t="n">
        <x:f>IF(F38="Pass",E38,0)</x:f>
        <x:v>0</x:v>
      </x:c>
      <x:c r="K38" s="12" t="n">
        <x:f>IF(F38="N/A",0,E38)</x:f>
        <x:v>5</x:v>
      </x:c>
      <x:c r="L38" s="12" t="str">
        <x:v>Anything shipped to a browser should be considered visible.</x:v>
      </x:c>
    </x:row>
    <x:row r="39">
      <x:c r="A39" s="12" t="str">
        <x:v>SR-038</x:v>
      </x:c>
      <x:c r="B39" s="12" t="str">
        <x:v>Secrets &amp; Dependencies</x:v>
      </x:c>
      <x:c r="C39" s="12" t="str">
        <x:v>Secrets are scoped to least privilege and separated by environment.</x:v>
      </x:c>
      <x:c r="D39" s="12" t="str">
        <x:v>High</x:v>
      </x:c>
      <x:c r="E39" s="12" t="n">
        <x:v>3</x:v>
      </x:c>
      <x:c r="F39" s="12" t="str">
        <x:v>Unknown</x:v>
      </x:c>
      <x:c r="G39" s="12" t="str"/>
      <x:c r="H39" s="12" t="str"/>
      <x:c r="I39" s="14" t="str"/>
      <x:c r="J39" s="12" t="n">
        <x:f>IF(F39="Pass",E39,0)</x:f>
        <x:v>0</x:v>
      </x:c>
      <x:c r="K39" s="12" t="n">
        <x:f>IF(F39="N/A",0,E39)</x:f>
        <x:v>3</x:v>
      </x:c>
      <x:c r="L39" s="12" t="str">
        <x:v>A leaked development credential should not unlock production.</x:v>
      </x:c>
    </x:row>
    <x:row r="40">
      <x:c r="A40" s="12" t="str">
        <x:v>SR-039</x:v>
      </x:c>
      <x:c r="B40" s="12" t="str">
        <x:v>Secrets &amp; Dependencies</x:v>
      </x:c>
      <x:c r="C40" s="12" t="str">
        <x:v>A rotation procedure exists for important credentials.</x:v>
      </x:c>
      <x:c r="D40" s="12" t="str">
        <x:v>High</x:v>
      </x:c>
      <x:c r="E40" s="12" t="n">
        <x:v>3</x:v>
      </x:c>
      <x:c r="F40" s="12" t="str">
        <x:v>Unknown</x:v>
      </x:c>
      <x:c r="G40" s="12" t="str"/>
      <x:c r="H40" s="12" t="str"/>
      <x:c r="I40" s="14" t="str"/>
      <x:c r="J40" s="12" t="n">
        <x:f>IF(F40="Pass",E40,0)</x:f>
        <x:v>0</x:v>
      </x:c>
      <x:c r="K40" s="12" t="n">
        <x:f>IF(F40="N/A",0,E40)</x:f>
        <x:v>3</x:v>
      </x:c>
      <x:c r="L40" s="12" t="str">
        <x:v>Compromised credentials must be replaceable.</x:v>
      </x:c>
    </x:row>
    <x:row r="41">
      <x:c r="A41" s="12" t="str">
        <x:v>SR-040</x:v>
      </x:c>
      <x:c r="B41" s="12" t="str">
        <x:v>Secrets &amp; Dependencies</x:v>
      </x:c>
      <x:c r="C41" s="12" t="str">
        <x:v>Dependencies are locked, reviewed, and checked for known vulnerabilities.</x:v>
      </x:c>
      <x:c r="D41" s="12" t="str">
        <x:v>High</x:v>
      </x:c>
      <x:c r="E41" s="12" t="n">
        <x:v>3</x:v>
      </x:c>
      <x:c r="F41" s="12" t="str">
        <x:v>Unknown</x:v>
      </x:c>
      <x:c r="G41" s="12" t="str"/>
      <x:c r="H41" s="12" t="str"/>
      <x:c r="I41" s="14" t="str"/>
      <x:c r="J41" s="12" t="n">
        <x:f>IF(F41="Pass",E41,0)</x:f>
        <x:v>0</x:v>
      </x:c>
      <x:c r="K41" s="12" t="n">
        <x:f>IF(F41="N/A",0,E41)</x:f>
        <x:v>3</x:v>
      </x:c>
      <x:c r="L41" s="12" t="str">
        <x:v>Generated projects may introduce stale or unnecessary packages.</x:v>
      </x:c>
    </x:row>
    <x:row r="42">
      <x:c r="A42" s="12" t="str">
        <x:v>SR-041</x:v>
      </x:c>
      <x:c r="B42" s="12" t="str">
        <x:v>Secrets &amp; Dependencies</x:v>
      </x:c>
      <x:c r="C42" s="12" t="str">
        <x:v>Unused packages, services, permissions, and integrations are removed.</x:v>
      </x:c>
      <x:c r="D42" s="12" t="str">
        <x:v>Medium</x:v>
      </x:c>
      <x:c r="E42" s="12" t="n">
        <x:v>2</x:v>
      </x:c>
      <x:c r="F42" s="12" t="str">
        <x:v>Unknown</x:v>
      </x:c>
      <x:c r="G42" s="12" t="str"/>
      <x:c r="H42" s="12" t="str"/>
      <x:c r="I42" s="14" t="str"/>
      <x:c r="J42" s="12" t="n">
        <x:f>IF(F42="Pass",E42,0)</x:f>
        <x:v>0</x:v>
      </x:c>
      <x:c r="K42" s="12" t="n">
        <x:f>IF(F42="N/A",0,E42)</x:f>
        <x:v>2</x:v>
      </x:c>
      <x:c r="L42" s="12" t="str">
        <x:v>Every unused component expands attack surface.</x:v>
      </x:c>
    </x:row>
    <x:row r="43">
      <x:c r="A43" s="12" t="str">
        <x:v>SR-042</x:v>
      </x:c>
      <x:c r="B43" s="12" t="str">
        <x:v>Input, Output &amp; AI Safety</x:v>
      </x:c>
      <x:c r="C43" s="12" t="str">
        <x:v>User-controlled input is validated on the server.</x:v>
      </x:c>
      <x:c r="D43" s="12" t="str">
        <x:v>Critical</x:v>
      </x:c>
      <x:c r="E43" s="12" t="n">
        <x:v>5</x:v>
      </x:c>
      <x:c r="F43" s="12" t="str">
        <x:v>Unknown</x:v>
      </x:c>
      <x:c r="G43" s="12" t="str"/>
      <x:c r="H43" s="12" t="str"/>
      <x:c r="I43" s="14" t="str"/>
      <x:c r="J43" s="12" t="n">
        <x:f>IF(F43="Pass",E43,0)</x:f>
        <x:v>0</x:v>
      </x:c>
      <x:c r="K43" s="12" t="n">
        <x:f>IF(F43="N/A",0,E43)</x:f>
        <x:v>5</x:v>
      </x:c>
      <x:c r="L43" s="12" t="str">
        <x:v>Client validation can be bypassed.</x:v>
      </x:c>
    </x:row>
    <x:row r="44">
      <x:c r="A44" s="12" t="str">
        <x:v>SR-043</x:v>
      </x:c>
      <x:c r="B44" s="12" t="str">
        <x:v>Input, Output &amp; AI Safety</x:v>
      </x:c>
      <x:c r="C44" s="12" t="str">
        <x:v>Output is encoded or sanitized for its destination.</x:v>
      </x:c>
      <x:c r="D44" s="12" t="str">
        <x:v>Critical</x:v>
      </x:c>
      <x:c r="E44" s="12" t="n">
        <x:v>5</x:v>
      </x:c>
      <x:c r="F44" s="12" t="str">
        <x:v>Unknown</x:v>
      </x:c>
      <x:c r="G44" s="12" t="str"/>
      <x:c r="H44" s="12" t="str"/>
      <x:c r="I44" s="14" t="str"/>
      <x:c r="J44" s="12" t="n">
        <x:f>IF(F44="Pass",E44,0)</x:f>
        <x:v>0</x:v>
      </x:c>
      <x:c r="K44" s="12" t="n">
        <x:f>IF(F44="N/A",0,E44)</x:f>
        <x:v>5</x:v>
      </x:c>
      <x:c r="L44" s="12" t="str">
        <x:v>Prevents injection into HTML, SQL, shell, templates, or downstream systems.</x:v>
      </x:c>
    </x:row>
    <x:row r="45">
      <x:c r="A45" s="12" t="str">
        <x:v>SR-044</x:v>
      </x:c>
      <x:c r="B45" s="12" t="str">
        <x:v>Input, Output &amp; AI Safety</x:v>
      </x:c>
      <x:c r="C45" s="12" t="str">
        <x:v>Uploads enforce type, size, storage location, and access rules.</x:v>
      </x:c>
      <x:c r="D45" s="12" t="str">
        <x:v>Critical</x:v>
      </x:c>
      <x:c r="E45" s="12" t="n">
        <x:v>5</x:v>
      </x:c>
      <x:c r="F45" s="12" t="str">
        <x:v>Unknown</x:v>
      </x:c>
      <x:c r="G45" s="12" t="str"/>
      <x:c r="H45" s="12" t="str"/>
      <x:c r="I45" s="14" t="str"/>
      <x:c r="J45" s="12" t="n">
        <x:f>IF(F45="Pass",E45,0)</x:f>
        <x:v>0</x:v>
      </x:c>
      <x:c r="K45" s="12" t="n">
        <x:f>IF(F45="N/A",0,E45)</x:f>
        <x:v>5</x:v>
      </x:c>
      <x:c r="L45" s="12" t="str">
        <x:v>Uploads combine content and authorization risk.</x:v>
      </x:c>
    </x:row>
    <x:row r="46">
      <x:c r="A46" s="12" t="str">
        <x:v>SR-045</x:v>
      </x:c>
      <x:c r="B46" s="12" t="str">
        <x:v>Input, Output &amp; AI Safety</x:v>
      </x:c>
      <x:c r="C46" s="12" t="str">
        <x:v>URLs, redirects, callbacks, and webhooks are allowlisted or verified.</x:v>
      </x:c>
      <x:c r="D46" s="12" t="str">
        <x:v>High</x:v>
      </x:c>
      <x:c r="E46" s="12" t="n">
        <x:v>3</x:v>
      </x:c>
      <x:c r="F46" s="12" t="str">
        <x:v>Unknown</x:v>
      </x:c>
      <x:c r="G46" s="12" t="str"/>
      <x:c r="H46" s="12" t="str"/>
      <x:c r="I46" s="14" t="str"/>
      <x:c r="J46" s="12" t="n">
        <x:f>IF(F46="Pass",E46,0)</x:f>
        <x:v>0</x:v>
      </x:c>
      <x:c r="K46" s="12" t="n">
        <x:f>IF(F46="N/A",0,E46)</x:f>
        <x:v>3</x:v>
      </x:c>
      <x:c r="L46" s="12" t="str">
        <x:v>Prevents unsafe destinations and forged events.</x:v>
      </x:c>
    </x:row>
    <x:row r="47">
      <x:c r="A47" s="12" t="str">
        <x:v>SR-046</x:v>
      </x:c>
      <x:c r="B47" s="12" t="str">
        <x:v>Input, Output &amp; AI Safety</x:v>
      </x:c>
      <x:c r="C47" s="12" t="str">
        <x:v>AI-generated actions are bounded by explicit permissions.</x:v>
      </x:c>
      <x:c r="D47" s="12" t="str">
        <x:v>Critical</x:v>
      </x:c>
      <x:c r="E47" s="12" t="n">
        <x:v>5</x:v>
      </x:c>
      <x:c r="F47" s="12" t="str">
        <x:v>Unknown</x:v>
      </x:c>
      <x:c r="G47" s="12" t="str"/>
      <x:c r="H47" s="12" t="str"/>
      <x:c r="I47" s="14" t="str"/>
      <x:c r="J47" s="12" t="n">
        <x:f>IF(F47="Pass",E47,0)</x:f>
        <x:v>0</x:v>
      </x:c>
      <x:c r="K47" s="12" t="n">
        <x:f>IF(F47="N/A",0,E47)</x:f>
        <x:v>5</x:v>
      </x:c>
      <x:c r="L47" s="12" t="str">
        <x:v>Agents should not inherit unlimited authority.</x:v>
      </x:c>
    </x:row>
    <x:row r="48">
      <x:c r="A48" s="12" t="str">
        <x:v>SR-047</x:v>
      </x:c>
      <x:c r="B48" s="12" t="str">
        <x:v>Input, Output &amp; AI Safety</x:v>
      </x:c>
      <x:c r="C48" s="12" t="str">
        <x:v>Prompt injection and untrusted retrieved content are treated as hostile input.</x:v>
      </x:c>
      <x:c r="D48" s="12" t="str">
        <x:v>Critical</x:v>
      </x:c>
      <x:c r="E48" s="12" t="n">
        <x:v>5</x:v>
      </x:c>
      <x:c r="F48" s="12" t="str">
        <x:v>Unknown</x:v>
      </x:c>
      <x:c r="G48" s="12" t="str"/>
      <x:c r="H48" s="12" t="str"/>
      <x:c r="I48" s="14" t="str"/>
      <x:c r="J48" s="12" t="n">
        <x:f>IF(F48="Pass",E48,0)</x:f>
        <x:v>0</x:v>
      </x:c>
      <x:c r="K48" s="12" t="n">
        <x:f>IF(F48="N/A",0,E48)</x:f>
        <x:v>5</x:v>
      </x:c>
      <x:c r="L48" s="12" t="str">
        <x:v>External content can attempt to redirect an agent.</x:v>
      </x:c>
    </x:row>
    <x:row r="49">
      <x:c r="A49" s="12" t="str">
        <x:v>SR-048</x:v>
      </x:c>
      <x:c r="B49" s="12" t="str">
        <x:v>Input, Output &amp; AI Safety</x:v>
      </x:c>
      <x:c r="C49" s="12" t="str">
        <x:v>High-impact AI actions require confirmation or deterministic policy checks.</x:v>
      </x:c>
      <x:c r="D49" s="12" t="str">
        <x:v>Critical</x:v>
      </x:c>
      <x:c r="E49" s="12" t="n">
        <x:v>5</x:v>
      </x:c>
      <x:c r="F49" s="12" t="str">
        <x:v>Unknown</x:v>
      </x:c>
      <x:c r="G49" s="12" t="str"/>
      <x:c r="H49" s="12" t="str"/>
      <x:c r="I49" s="14" t="str"/>
      <x:c r="J49" s="12" t="n">
        <x:f>IF(F49="Pass",E49,0)</x:f>
        <x:v>0</x:v>
      </x:c>
      <x:c r="K49" s="12" t="n">
        <x:f>IF(F49="N/A",0,E49)</x:f>
        <x:v>5</x:v>
      </x:c>
      <x:c r="L49" s="12" t="str">
        <x:v>Human or policy gates reduce irreversible agent mistakes.</x:v>
      </x:c>
    </x:row>
    <x:row r="50">
      <x:c r="A50" s="12" t="str">
        <x:v>SR-049</x:v>
      </x:c>
      <x:c r="B50" s="12" t="str">
        <x:v>Input, Output &amp; AI Safety</x:v>
      </x:c>
      <x:c r="C50" s="12" t="str">
        <x:v>The system distinguishes generated content from verified facts or system state.</x:v>
      </x:c>
      <x:c r="D50" s="12" t="str">
        <x:v>High</x:v>
      </x:c>
      <x:c r="E50" s="12" t="n">
        <x:v>3</x:v>
      </x:c>
      <x:c r="F50" s="12" t="str">
        <x:v>Unknown</x:v>
      </x:c>
      <x:c r="G50" s="12" t="str"/>
      <x:c r="H50" s="12" t="str"/>
      <x:c r="I50" s="14" t="str"/>
      <x:c r="J50" s="12" t="n">
        <x:f>IF(F50="Pass",E50,0)</x:f>
        <x:v>0</x:v>
      </x:c>
      <x:c r="K50" s="12" t="n">
        <x:f>IF(F50="N/A",0,E50)</x:f>
        <x:v>3</x:v>
      </x:c>
      <x:c r="L50" s="12" t="str">
        <x:v>Prevents fluent fabrication from being treated as truth.</x:v>
      </x:c>
    </x:row>
    <x:row r="51">
      <x:c r="A51" s="12" t="str">
        <x:v>SR-050</x:v>
      </x:c>
      <x:c r="B51" s="12" t="str">
        <x:v>Error Handling &amp; Observability</x:v>
      </x:c>
      <x:c r="C51" s="12" t="str">
        <x:v>Failures are visible and never converted into fake success.</x:v>
      </x:c>
      <x:c r="D51" s="12" t="str">
        <x:v>Critical</x:v>
      </x:c>
      <x:c r="E51" s="12" t="n">
        <x:v>5</x:v>
      </x:c>
      <x:c r="F51" s="12" t="str">
        <x:v>Unknown</x:v>
      </x:c>
      <x:c r="G51" s="12" t="str"/>
      <x:c r="H51" s="12" t="str"/>
      <x:c r="I51" s="14" t="str"/>
      <x:c r="J51" s="12" t="n">
        <x:f>IF(F51="Pass",E51,0)</x:f>
        <x:v>0</x:v>
      </x:c>
      <x:c r="K51" s="12" t="n">
        <x:f>IF(F51="N/A",0,E51)</x:f>
        <x:v>5</x:v>
      </x:c>
      <x:c r="L51" s="12" t="str">
        <x:v>Silent fallback can conceal a broken product.</x:v>
      </x:c>
    </x:row>
    <x:row r="52">
      <x:c r="A52" s="12" t="str">
        <x:v>SR-051</x:v>
      </x:c>
      <x:c r="B52" s="12" t="str">
        <x:v>Error Handling &amp; Observability</x:v>
      </x:c>
      <x:c r="C52" s="12" t="str">
        <x:v>User-facing errors are useful without exposing internals.</x:v>
      </x:c>
      <x:c r="D52" s="12" t="str">
        <x:v>High</x:v>
      </x:c>
      <x:c r="E52" s="12" t="n">
        <x:v>3</x:v>
      </x:c>
      <x:c r="F52" s="12" t="str">
        <x:v>Unknown</x:v>
      </x:c>
      <x:c r="G52" s="12" t="str"/>
      <x:c r="H52" s="12" t="str"/>
      <x:c r="I52" s="14" t="str"/>
      <x:c r="J52" s="12" t="n">
        <x:f>IF(F52="Pass",E52,0)</x:f>
        <x:v>0</x:v>
      </x:c>
      <x:c r="K52" s="12" t="n">
        <x:f>IF(F52="N/A",0,E52)</x:f>
        <x:v>3</x:v>
      </x:c>
      <x:c r="L52" s="12" t="str">
        <x:v>Errors should support recovery without leaking sensitive detail.</x:v>
      </x:c>
    </x:row>
    <x:row r="53">
      <x:c r="A53" s="12" t="str">
        <x:v>SR-052</x:v>
      </x:c>
      <x:c r="B53" s="12" t="str">
        <x:v>Error Handling &amp; Observability</x:v>
      </x:c>
      <x:c r="C53" s="12" t="str">
        <x:v>Server logs include correlation context but exclude secrets.</x:v>
      </x:c>
      <x:c r="D53" s="12" t="str">
        <x:v>High</x:v>
      </x:c>
      <x:c r="E53" s="12" t="n">
        <x:v>3</x:v>
      </x:c>
      <x:c r="F53" s="12" t="str">
        <x:v>Unknown</x:v>
      </x:c>
      <x:c r="G53" s="12" t="str"/>
      <x:c r="H53" s="12" t="str"/>
      <x:c r="I53" s="14" t="str"/>
      <x:c r="J53" s="12" t="n">
        <x:f>IF(F53="Pass",E53,0)</x:f>
        <x:v>0</x:v>
      </x:c>
      <x:c r="K53" s="12" t="n">
        <x:f>IF(F53="N/A",0,E53)</x:f>
        <x:v>3</x:v>
      </x:c>
      <x:c r="L53" s="12" t="str">
        <x:v>Debugging requires traceability without leakage.</x:v>
      </x:c>
    </x:row>
    <x:row r="54">
      <x:c r="A54" s="12" t="str">
        <x:v>SR-053</x:v>
      </x:c>
      <x:c r="B54" s="12" t="str">
        <x:v>Error Handling &amp; Observability</x:v>
      </x:c>
      <x:c r="C54" s="12" t="str">
        <x:v>Critical actions have audit records.</x:v>
      </x:c>
      <x:c r="D54" s="12" t="str">
        <x:v>High</x:v>
      </x:c>
      <x:c r="E54" s="12" t="n">
        <x:v>3</x:v>
      </x:c>
      <x:c r="F54" s="12" t="str">
        <x:v>Unknown</x:v>
      </x:c>
      <x:c r="G54" s="12" t="str"/>
      <x:c r="H54" s="12" t="str"/>
      <x:c r="I54" s="14" t="str"/>
      <x:c r="J54" s="12" t="n">
        <x:f>IF(F54="Pass",E54,0)</x:f>
        <x:v>0</x:v>
      </x:c>
      <x:c r="K54" s="12" t="n">
        <x:f>IF(F54="N/A",0,E54)</x:f>
        <x:v>3</x:v>
      </x:c>
      <x:c r="L54" s="12" t="str">
        <x:v>Important changes need accountability.</x:v>
      </x:c>
    </x:row>
    <x:row r="55">
      <x:c r="A55" s="12" t="str">
        <x:v>SR-054</x:v>
      </x:c>
      <x:c r="B55" s="12" t="str">
        <x:v>Error Handling &amp; Observability</x:v>
      </x:c>
      <x:c r="C55" s="12" t="str">
        <x:v>Health checks and basic monitoring exist for production dependencies.</x:v>
      </x:c>
      <x:c r="D55" s="12" t="str">
        <x:v>High</x:v>
      </x:c>
      <x:c r="E55" s="12" t="n">
        <x:v>3</x:v>
      </x:c>
      <x:c r="F55" s="12" t="str">
        <x:v>Unknown</x:v>
      </x:c>
      <x:c r="G55" s="12" t="str"/>
      <x:c r="H55" s="12" t="str"/>
      <x:c r="I55" s="14" t="str"/>
      <x:c r="J55" s="12" t="n">
        <x:f>IF(F55="Pass",E55,0)</x:f>
        <x:v>0</x:v>
      </x:c>
      <x:c r="K55" s="12" t="n">
        <x:f>IF(F55="N/A",0,E55)</x:f>
        <x:v>3</x:v>
      </x:c>
      <x:c r="L55" s="12" t="str">
        <x:v>A deployed product still needs failure detection.</x:v>
      </x:c>
    </x:row>
    <x:row r="56">
      <x:c r="A56" s="12" t="str">
        <x:v>SR-055</x:v>
      </x:c>
      <x:c r="B56" s="12" t="str">
        <x:v>Error Handling &amp; Observability</x:v>
      </x:c>
      <x:c r="C56" s="12" t="str">
        <x:v>Alert ownership and response steps are defined.</x:v>
      </x:c>
      <x:c r="D56" s="12" t="str">
        <x:v>Medium</x:v>
      </x:c>
      <x:c r="E56" s="12" t="n">
        <x:v>2</x:v>
      </x:c>
      <x:c r="F56" s="12" t="str">
        <x:v>Unknown</x:v>
      </x:c>
      <x:c r="G56" s="12" t="str"/>
      <x:c r="H56" s="12" t="str"/>
      <x:c r="I56" s="14" t="str"/>
      <x:c r="J56" s="12" t="n">
        <x:f>IF(F56="Pass",E56,0)</x:f>
        <x:v>0</x:v>
      </x:c>
      <x:c r="K56" s="12" t="n">
        <x:f>IF(F56="N/A",0,E56)</x:f>
        <x:v>2</x:v>
      </x:c>
      <x:c r="L56" s="12" t="str">
        <x:v>An alert without an owner is only noise.</x:v>
      </x:c>
    </x:row>
    <x:row r="57">
      <x:c r="A57" s="12" t="str">
        <x:v>SR-056</x:v>
      </x:c>
      <x:c r="B57" s="12" t="str">
        <x:v>Deployment &amp; Operations</x:v>
      </x:c>
      <x:c r="C57" s="12" t="str">
        <x:v>Development, staging, and production environments are separated.</x:v>
      </x:c>
      <x:c r="D57" s="12" t="str">
        <x:v>Critical</x:v>
      </x:c>
      <x:c r="E57" s="12" t="n">
        <x:v>5</x:v>
      </x:c>
      <x:c r="F57" s="12" t="str">
        <x:v>Unknown</x:v>
      </x:c>
      <x:c r="G57" s="12" t="str"/>
      <x:c r="H57" s="12" t="str"/>
      <x:c r="I57" s="14" t="str"/>
      <x:c r="J57" s="12" t="n">
        <x:f>IF(F57="Pass",E57,0)</x:f>
        <x:v>0</x:v>
      </x:c>
      <x:c r="K57" s="12" t="n">
        <x:f>IF(F57="N/A",0,E57)</x:f>
        <x:v>5</x:v>
      </x:c>
      <x:c r="L57" s="12" t="str">
        <x:v>Environment separation limits accidental production changes.</x:v>
      </x:c>
    </x:row>
    <x:row r="58">
      <x:c r="A58" s="12" t="str">
        <x:v>SR-057</x:v>
      </x:c>
      <x:c r="B58" s="12" t="str">
        <x:v>Deployment &amp; Operations</x:v>
      </x:c>
      <x:c r="C58" s="12" t="str">
        <x:v>Production configuration is reviewed independently from local configuration.</x:v>
      </x:c>
      <x:c r="D58" s="12" t="str">
        <x:v>High</x:v>
      </x:c>
      <x:c r="E58" s="12" t="n">
        <x:v>3</x:v>
      </x:c>
      <x:c r="F58" s="12" t="str">
        <x:v>Unknown</x:v>
      </x:c>
      <x:c r="G58" s="12" t="str"/>
      <x:c r="H58" s="12" t="str"/>
      <x:c r="I58" s="14" t="str"/>
      <x:c r="J58" s="12" t="n">
        <x:f>IF(F58="Pass",E58,0)</x:f>
        <x:v>0</x:v>
      </x:c>
      <x:c r="K58" s="12" t="n">
        <x:f>IF(F58="N/A",0,E58)</x:f>
        <x:v>3</x:v>
      </x:c>
      <x:c r="L58" s="12" t="str">
        <x:v>Many failures occur only after deployment.</x:v>
      </x:c>
    </x:row>
    <x:row r="59">
      <x:c r="A59" s="12" t="str">
        <x:v>SR-058</x:v>
      </x:c>
      <x:c r="B59" s="12" t="str">
        <x:v>Deployment &amp; Operations</x:v>
      </x:c>
      <x:c r="C59" s="12" t="str">
        <x:v>Database migrations run in a controlled order with a backup or recovery path.</x:v>
      </x:c>
      <x:c r="D59" s="12" t="str">
        <x:v>Critical</x:v>
      </x:c>
      <x:c r="E59" s="12" t="n">
        <x:v>5</x:v>
      </x:c>
      <x:c r="F59" s="12" t="str">
        <x:v>Unknown</x:v>
      </x:c>
      <x:c r="G59" s="12" t="str"/>
      <x:c r="H59" s="12" t="str"/>
      <x:c r="I59" s="14" t="str"/>
      <x:c r="J59" s="12" t="n">
        <x:f>IF(F59="Pass",E59,0)</x:f>
        <x:v>0</x:v>
      </x:c>
      <x:c r="K59" s="12" t="n">
        <x:f>IF(F59="N/A",0,E59)</x:f>
        <x:v>5</x:v>
      </x:c>
      <x:c r="L59" s="12" t="str">
        <x:v>Data changes can be irreversible.</x:v>
      </x:c>
    </x:row>
    <x:row r="60">
      <x:c r="A60" s="12" t="str">
        <x:v>SR-059</x:v>
      </x:c>
      <x:c r="B60" s="12" t="str">
        <x:v>Deployment &amp; Operations</x:v>
      </x:c>
      <x:c r="C60" s="12" t="str">
        <x:v>The deployment procedure is repeatable and documented.</x:v>
      </x:c>
      <x:c r="D60" s="12" t="str">
        <x:v>High</x:v>
      </x:c>
      <x:c r="E60" s="12" t="n">
        <x:v>3</x:v>
      </x:c>
      <x:c r="F60" s="12" t="str">
        <x:v>Unknown</x:v>
      </x:c>
      <x:c r="G60" s="12" t="str"/>
      <x:c r="H60" s="12" t="str"/>
      <x:c r="I60" s="14" t="str"/>
      <x:c r="J60" s="12" t="n">
        <x:f>IF(F60="Pass",E60,0)</x:f>
        <x:v>0</x:v>
      </x:c>
      <x:c r="K60" s="12" t="n">
        <x:f>IF(F60="N/A",0,E60)</x:f>
        <x:v>3</x:v>
      </x:c>
      <x:c r="L60" s="12" t="str">
        <x:v>Manual memory is not an operational system.</x:v>
      </x:c>
    </x:row>
    <x:row r="61">
      <x:c r="A61" s="12" t="str">
        <x:v>SR-060</x:v>
      </x:c>
      <x:c r="B61" s="12" t="str">
        <x:v>Deployment &amp; Operations</x:v>
      </x:c>
      <x:c r="C61" s="12" t="str">
        <x:v>The previous production version can be restored.</x:v>
      </x:c>
      <x:c r="D61" s="12" t="str">
        <x:v>Critical</x:v>
      </x:c>
      <x:c r="E61" s="12" t="n">
        <x:v>5</x:v>
      </x:c>
      <x:c r="F61" s="12" t="str">
        <x:v>Unknown</x:v>
      </x:c>
      <x:c r="G61" s="12" t="str"/>
      <x:c r="H61" s="12" t="str"/>
      <x:c r="I61" s="14" t="str"/>
      <x:c r="J61" s="12" t="n">
        <x:f>IF(F61="Pass",E61,0)</x:f>
        <x:v>0</x:v>
      </x:c>
      <x:c r="K61" s="12" t="n">
        <x:f>IF(F61="N/A",0,E61)</x:f>
        <x:v>5</x:v>
      </x:c>
      <x:c r="L61" s="12" t="str">
        <x:v>Rollback is a launch requirement, not a future improvement.</x:v>
      </x:c>
    </x:row>
    <x:row r="62">
      <x:c r="A62" s="12" t="str">
        <x:v>SR-061</x:v>
      </x:c>
      <x:c r="B62" s="12" t="str">
        <x:v>Deployment &amp; Operations</x:v>
      </x:c>
      <x:c r="C62" s="12" t="str">
        <x:v>Domain, TLS, environment variables, storage, scheduled jobs, and webhooks are verified after deployment.</x:v>
      </x:c>
      <x:c r="D62" s="12" t="str">
        <x:v>High</x:v>
      </x:c>
      <x:c r="E62" s="12" t="n">
        <x:v>3</x:v>
      </x:c>
      <x:c r="F62" s="12" t="str">
        <x:v>Unknown</x:v>
      </x:c>
      <x:c r="G62" s="12" t="str"/>
      <x:c r="H62" s="12" t="str"/>
      <x:c r="I62" s="14" t="str"/>
      <x:c r="J62" s="12" t="n">
        <x:f>IF(F62="Pass",E62,0)</x:f>
        <x:v>0</x:v>
      </x:c>
      <x:c r="K62" s="12" t="n">
        <x:f>IF(F62="N/A",0,E62)</x:f>
        <x:v>3</x:v>
      </x:c>
      <x:c r="L62" s="12" t="str">
        <x:v>Infrastructure success requires more than a green build.</x:v>
      </x:c>
    </x:row>
    <x:row r="63">
      <x:c r="A63" s="12" t="str">
        <x:v>SR-062</x:v>
      </x:c>
      <x:c r="B63" s="12" t="str">
        <x:v>Deployment &amp; Operations</x:v>
      </x:c>
      <x:c r="C63" s="12" t="str">
        <x:v>Rate limits, quotas, timeouts, and cost ceilings are defined for external services and AI usage.</x:v>
      </x:c>
      <x:c r="D63" s="12" t="str">
        <x:v>High</x:v>
      </x:c>
      <x:c r="E63" s="12" t="n">
        <x:v>3</x:v>
      </x:c>
      <x:c r="F63" s="12" t="str">
        <x:v>Unknown</x:v>
      </x:c>
      <x:c r="G63" s="12" t="str"/>
      <x:c r="H63" s="12" t="str"/>
      <x:c r="I63" s="14" t="str"/>
      <x:c r="J63" s="12" t="n">
        <x:f>IF(F63="Pass",E63,0)</x:f>
        <x:v>0</x:v>
      </x:c>
      <x:c r="K63" s="12" t="n">
        <x:f>IF(F63="N/A",0,E63)</x:f>
        <x:v>3</x:v>
      </x:c>
      <x:c r="L63" s="12" t="str">
        <x:v>Unexpected usage can become an outage or a large bill.</x:v>
      </x:c>
    </x:row>
    <x:row r="64">
      <x:c r="A64" s="12" t="str">
        <x:v>SR-063</x:v>
      </x:c>
      <x:c r="B64" s="12" t="str">
        <x:v>Agent Control &amp; Evidence</x:v>
      </x:c>
      <x:c r="C64" s="12" t="str">
        <x:v>The coding agent receives persistent project instructions.</x:v>
      </x:c>
      <x:c r="D64" s="12" t="str">
        <x:v>Critical</x:v>
      </x:c>
      <x:c r="E64" s="12" t="n">
        <x:v>5</x:v>
      </x:c>
      <x:c r="F64" s="12" t="str">
        <x:v>Unknown</x:v>
      </x:c>
      <x:c r="G64" s="12" t="str"/>
      <x:c r="H64" s="12" t="str"/>
      <x:c r="I64" s="14" t="str"/>
      <x:c r="J64" s="12" t="n">
        <x:f>IF(F64="Pass",E64,0)</x:f>
        <x:v>0</x:v>
      </x:c>
      <x:c r="K64" s="12" t="n">
        <x:f>IF(F64="N/A",0,E64)</x:f>
        <x:v>5</x:v>
      </x:c>
      <x:c r="L64" s="12" t="str">
        <x:v>Session prompts alone are easy to omit or lose.</x:v>
      </x:c>
    </x:row>
    <x:row r="65">
      <x:c r="A65" s="12" t="str">
        <x:v>SR-064</x:v>
      </x:c>
      <x:c r="B65" s="12" t="str">
        <x:v>Agent Control &amp; Evidence</x:v>
      </x:c>
      <x:c r="C65" s="12" t="str">
        <x:v>The agent must inspect before editing and make the smallest viable change.</x:v>
      </x:c>
      <x:c r="D65" s="12" t="str">
        <x:v>Critical</x:v>
      </x:c>
      <x:c r="E65" s="12" t="n">
        <x:v>5</x:v>
      </x:c>
      <x:c r="F65" s="12" t="str">
        <x:v>Unknown</x:v>
      </x:c>
      <x:c r="G65" s="12" t="str"/>
      <x:c r="H65" s="12" t="str"/>
      <x:c r="I65" s="14" t="str"/>
      <x:c r="J65" s="12" t="n">
        <x:f>IF(F65="Pass",E65,0)</x:f>
        <x:v>0</x:v>
      </x:c>
      <x:c r="K65" s="12" t="n">
        <x:f>IF(F65="N/A",0,E65)</x:f>
        <x:v>5</x:v>
      </x:c>
      <x:c r="L65" s="12" t="str">
        <x:v>Reduces unnecessary code replacement.</x:v>
      </x:c>
    </x:row>
    <x:row r="66">
      <x:c r="A66" s="12" t="str">
        <x:v>SR-065</x:v>
      </x:c>
      <x:c r="B66" s="12" t="str">
        <x:v>Agent Control &amp; Evidence</x:v>
      </x:c>
      <x:c r="C66" s="12" t="str">
        <x:v>The agent must report all changed files and commands run.</x:v>
      </x:c>
      <x:c r="D66" s="12" t="str">
        <x:v>High</x:v>
      </x:c>
      <x:c r="E66" s="12" t="n">
        <x:v>3</x:v>
      </x:c>
      <x:c r="F66" s="12" t="str">
        <x:v>Unknown</x:v>
      </x:c>
      <x:c r="G66" s="12" t="str"/>
      <x:c r="H66" s="12" t="str"/>
      <x:c r="I66" s="14" t="str"/>
      <x:c r="J66" s="12" t="n">
        <x:f>IF(F66="Pass",E66,0)</x:f>
        <x:v>0</x:v>
      </x:c>
      <x:c r="K66" s="12" t="n">
        <x:f>IF(F66="N/A",0,E66)</x:f>
        <x:v>3</x:v>
      </x:c>
      <x:c r="L66" s="12" t="str">
        <x:v>Creates a reviewable execution trail.</x:v>
      </x:c>
    </x:row>
    <x:row r="67">
      <x:c r="A67" s="12" t="str">
        <x:v>SR-066</x:v>
      </x:c>
      <x:c r="B67" s="12" t="str">
        <x:v>Agent Control &amp; Evidence</x:v>
      </x:c>
      <x:c r="C67" s="12" t="str">
        <x:v>The agent is prohibited from deleting tests or weakening checks to obtain a passing result.</x:v>
      </x:c>
      <x:c r="D67" s="12" t="str">
        <x:v>Critical</x:v>
      </x:c>
      <x:c r="E67" s="12" t="n">
        <x:v>5</x:v>
      </x:c>
      <x:c r="F67" s="12" t="str">
        <x:v>Unknown</x:v>
      </x:c>
      <x:c r="G67" s="12" t="str"/>
      <x:c r="H67" s="12" t="str"/>
      <x:c r="I67" s="14" t="str"/>
      <x:c r="J67" s="12" t="n">
        <x:f>IF(F67="Pass",E67,0)</x:f>
        <x:v>0</x:v>
      </x:c>
      <x:c r="K67" s="12" t="n">
        <x:f>IF(F67="N/A",0,E67)</x:f>
        <x:v>5</x:v>
      </x:c>
      <x:c r="L67" s="12" t="str">
        <x:v>Passing by removing evidence is not success.</x:v>
      </x:c>
    </x:row>
    <x:row r="68">
      <x:c r="A68" s="12" t="str">
        <x:v>SR-067</x:v>
      </x:c>
      <x:c r="B68" s="12" t="str">
        <x:v>Agent Control &amp; Evidence</x:v>
      </x:c>
      <x:c r="C68" s="12" t="str">
        <x:v>The agent must stop when requirements conflict, evidence is missing, or a high-risk assumption is required.</x:v>
      </x:c>
      <x:c r="D68" s="12" t="str">
        <x:v>Critical</x:v>
      </x:c>
      <x:c r="E68" s="12" t="n">
        <x:v>5</x:v>
      </x:c>
      <x:c r="F68" s="12" t="str">
        <x:v>Unknown</x:v>
      </x:c>
      <x:c r="G68" s="12" t="str"/>
      <x:c r="H68" s="12" t="str"/>
      <x:c r="I68" s="14" t="str"/>
      <x:c r="J68" s="12" t="n">
        <x:f>IF(F68="Pass",E68,0)</x:f>
        <x:v>0</x:v>
      </x:c>
      <x:c r="K68" s="12" t="n">
        <x:f>IF(F68="N/A",0,E68)</x:f>
        <x:v>5</x:v>
      </x:c>
      <x:c r="L68" s="12" t="str">
        <x:v>Uncertainty should create a decision point, not invention.</x:v>
      </x:c>
    </x:row>
    <x:row r="69">
      <x:c r="A69" s="12" t="str">
        <x:v>SR-068</x:v>
      </x:c>
      <x:c r="B69" s="12" t="str">
        <x:v>Agent Control &amp; Evidence</x:v>
      </x:c>
      <x:c r="C69" s="12" t="str">
        <x:v>Completion requires test output, security checks, diff review, and acceptance-criteria evidence.</x:v>
      </x:c>
      <x:c r="D69" s="12" t="str">
        <x:v>Critical</x:v>
      </x:c>
      <x:c r="E69" s="12" t="n">
        <x:v>5</x:v>
      </x:c>
      <x:c r="F69" s="12" t="str">
        <x:v>Unknown</x:v>
      </x:c>
      <x:c r="G69" s="12" t="str"/>
      <x:c r="H69" s="12" t="str"/>
      <x:c r="I69" s="14" t="str"/>
      <x:c r="J69" s="12" t="n">
        <x:f>IF(F69="Pass",E69,0)</x:f>
        <x:v>0</x:v>
      </x:c>
      <x:c r="K69" s="12" t="n">
        <x:f>IF(F69="N/A",0,E69)</x:f>
        <x:v>5</x:v>
      </x:c>
      <x:c r="L69" s="12" t="str">
        <x:v>Claims of completion must be supported.</x:v>
      </x:c>
    </x:row>
  </x:sheetData>
  <x:conditionalFormatting sqref="F2:F69">
    <x:cfRule type="expression" dxfId="0" priority="1">
      <x:formula>F2="Pass"</x:formula>
    </x:cfRule>
    <x:cfRule type="expression" dxfId="1" priority="2">
      <x:formula>F2="Fail"</x:formula>
    </x:cfRule>
    <x:cfRule type="expression" dxfId="2" priority="3">
      <x:formula>F2="Unknown"</x:formula>
    </x:cfRule>
  </x:conditionalFormatting>
  <x:conditionalFormatting sqref="D2:D69">
    <x:cfRule type="expression" dxfId="3" priority="4">
      <x:formula>D2="Critical"</x:formula>
    </x:cfRule>
  </x:conditionalFormatting>
  <x:dataValidations count="1">
    <x:dataValidation type="list" sqref="F2:F69">
      <x:formula1>"Pass,Fail,Unknown,N/A"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a79036a134489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38" hidden="0" customWidth="1"/>
    <x:col min="5" max="5" width="38" hidden="0" customWidth="1"/>
    <x:col min="6" max="6" width="12" hidden="0" customWidth="1"/>
    <x:col min="7" max="7" width="35" hidden="0" customWidth="1"/>
    <x:col min="8" max="8" width="18" hidden="0" customWidth="1"/>
  </x:cols>
  <x:sheetData>
    <x:row r="1">
      <x:c r="A1" s="4" t="str">
        <x:v>Test ID</x:v>
      </x:c>
      <x:c r="B1" s="4" t="str">
        <x:v>Actor</x:v>
      </x:c>
      <x:c r="C1" s="4" t="str">
        <x:v>Resource / action</x:v>
      </x:c>
      <x:c r="D1" s="4" t="str">
        <x:v>Expected result</x:v>
      </x:c>
      <x:c r="E1" s="4" t="str">
        <x:v>Actual result</x:v>
      </x:c>
      <x:c r="F1" s="4" t="str">
        <x:v>Pass/Fail</x:v>
      </x:c>
      <x:c r="G1" s="4" t="str">
        <x:v>Evidence</x:v>
      </x:c>
      <x:c r="H1" s="4" t="str">
        <x:v>Owner</x:v>
      </x:c>
    </x:row>
    <x:row r="2">
      <x:c r="A2" s="12" t="str">
        <x:v>AUTH-001</x:v>
      </x:c>
      <x:c r="B2" s="12" t="str">
        <x:v>Anonymous user</x:v>
      </x:c>
      <x:c r="C2" s="12" t="str">
        <x:v>Open authenticated-only page</x:v>
      </x:c>
      <x:c r="D2" s="12" t="str">
        <x:v>Access denied</x:v>
      </x:c>
      <x:c r="E2" s="12" t="str"/>
      <x:c r="F2" s="12" t="str">
        <x:v>Unknown</x:v>
      </x:c>
      <x:c r="G2" s="12" t="str"/>
      <x:c r="H2" s="12" t="str"/>
    </x:row>
    <x:row r="3">
      <x:c r="A3" s="12" t="str">
        <x:v>AUTH-002</x:v>
      </x:c>
      <x:c r="B3" s="12" t="str">
        <x:v>Anonymous user</x:v>
      </x:c>
      <x:c r="C3" s="12" t="str">
        <x:v>Call protected API endpoint</x:v>
      </x:c>
      <x:c r="D3" s="12" t="str">
        <x:v>401/403; no protected data</x:v>
      </x:c>
      <x:c r="E3" s="12" t="str"/>
      <x:c r="F3" s="12" t="str">
        <x:v>Unknown</x:v>
      </x:c>
      <x:c r="G3" s="12" t="str"/>
      <x:c r="H3" s="12" t="str"/>
    </x:row>
    <x:row r="4">
      <x:c r="A4" s="12" t="str">
        <x:v>AUTH-003</x:v>
      </x:c>
      <x:c r="B4" s="12" t="str">
        <x:v>User A</x:v>
      </x:c>
      <x:c r="C4" s="12" t="str">
        <x:v>Read User B record by changing ID</x:v>
      </x:c>
      <x:c r="D4" s="12" t="str">
        <x:v>Denied; no record leakage</x:v>
      </x:c>
      <x:c r="E4" s="12" t="str"/>
      <x:c r="F4" s="12" t="str">
        <x:v>Unknown</x:v>
      </x:c>
      <x:c r="G4" s="12" t="str"/>
      <x:c r="H4" s="12" t="str"/>
    </x:row>
    <x:row r="5">
      <x:c r="A5" s="12" t="str">
        <x:v>AUTH-004</x:v>
      </x:c>
      <x:c r="B5" s="12" t="str">
        <x:v>User A</x:v>
      </x:c>
      <x:c r="C5" s="12" t="str">
        <x:v>Update User B record by changing ID</x:v>
      </x:c>
      <x:c r="D5" s="12" t="str">
        <x:v>Denied; no state change</x:v>
      </x:c>
      <x:c r="E5" s="12" t="str"/>
      <x:c r="F5" s="12" t="str">
        <x:v>Unknown</x:v>
      </x:c>
      <x:c r="G5" s="12" t="str"/>
      <x:c r="H5" s="12" t="str"/>
    </x:row>
    <x:row r="6">
      <x:c r="A6" s="12" t="str">
        <x:v>AUTH-005</x:v>
      </x:c>
      <x:c r="B6" s="12" t="str">
        <x:v>Normal user</x:v>
      </x:c>
      <x:c r="C6" s="12" t="str">
        <x:v>Open admin route directly</x:v>
      </x:c>
      <x:c r="D6" s="12" t="str">
        <x:v>Denied server-side</x:v>
      </x:c>
      <x:c r="E6" s="12" t="str"/>
      <x:c r="F6" s="12" t="str">
        <x:v>Unknown</x:v>
      </x:c>
      <x:c r="G6" s="12" t="str"/>
      <x:c r="H6" s="12" t="str"/>
    </x:row>
    <x:row r="7">
      <x:c r="A7" s="12" t="str">
        <x:v>AUTH-006</x:v>
      </x:c>
      <x:c r="B7" s="12" t="str">
        <x:v>Normal user</x:v>
      </x:c>
      <x:c r="C7" s="12" t="str">
        <x:v>Call admin API directly</x:v>
      </x:c>
      <x:c r="D7" s="12" t="str">
        <x:v>Denied server-side</x:v>
      </x:c>
      <x:c r="E7" s="12" t="str"/>
      <x:c r="F7" s="12" t="str">
        <x:v>Unknown</x:v>
      </x:c>
      <x:c r="G7" s="12" t="str"/>
      <x:c r="H7" s="12" t="str"/>
    </x:row>
    <x:row r="8">
      <x:c r="A8" s="12" t="str">
        <x:v>AUTH-007</x:v>
      </x:c>
      <x:c r="B8" s="12" t="str">
        <x:v>Suspended user</x:v>
      </x:c>
      <x:c r="C8" s="12" t="str">
        <x:v>Use existing session</x:v>
      </x:c>
      <x:c r="D8" s="12" t="str">
        <x:v>Session revoked or sensitive actions denied</x:v>
      </x:c>
      <x:c r="E8" s="12" t="str"/>
      <x:c r="F8" s="12" t="str">
        <x:v>Unknown</x:v>
      </x:c>
      <x:c r="G8" s="12" t="str"/>
      <x:c r="H8" s="12" t="str"/>
    </x:row>
    <x:row r="9">
      <x:c r="A9" s="12" t="str">
        <x:v>AUTH-008</x:v>
      </x:c>
      <x:c r="B9" s="12" t="str">
        <x:v>Deleted user</x:v>
      </x:c>
      <x:c r="C9" s="12" t="str">
        <x:v>Reuse old token/session</x:v>
      </x:c>
      <x:c r="D9" s="12" t="str">
        <x:v>Denied</x:v>
      </x:c>
      <x:c r="E9" s="12" t="str"/>
      <x:c r="F9" s="12" t="str">
        <x:v>Unknown</x:v>
      </x:c>
      <x:c r="G9" s="12" t="str"/>
      <x:c r="H9" s="12" t="str"/>
    </x:row>
    <x:row r="10">
      <x:c r="A10" s="12" t="str">
        <x:v>AUTH-009</x:v>
      </x:c>
      <x:c r="B10" s="12" t="str">
        <x:v>User A</x:v>
      </x:c>
      <x:c r="C10" s="12" t="str">
        <x:v>List private files owned by User B</x:v>
      </x:c>
      <x:c r="D10" s="12" t="str">
        <x:v>Denied; filenames not exposed</x:v>
      </x:c>
      <x:c r="E10" s="12" t="str"/>
      <x:c r="F10" s="12" t="str">
        <x:v>Unknown</x:v>
      </x:c>
      <x:c r="G10" s="12" t="str"/>
      <x:c r="H10" s="12" t="str"/>
    </x:row>
    <x:row r="11">
      <x:c r="A11" s="12" t="str">
        <x:v>AUTH-010</x:v>
      </x:c>
      <x:c r="B11" s="12" t="str">
        <x:v>User A</x:v>
      </x:c>
      <x:c r="C11" s="12" t="str">
        <x:v>Guess/download User B private file URL</x:v>
      </x:c>
      <x:c r="D11" s="12" t="str">
        <x:v>Denied or URL invalid</x:v>
      </x:c>
      <x:c r="E11" s="12" t="str"/>
      <x:c r="F11" s="12" t="str">
        <x:v>Unknown</x:v>
      </x:c>
      <x:c r="G11" s="12" t="str"/>
      <x:c r="H11" s="12" t="str"/>
    </x:row>
    <x:row r="12">
      <x:c r="A12" s="12" t="str">
        <x:v>AUTH-011</x:v>
      </x:c>
      <x:c r="B12" s="12" t="str">
        <x:v>Normal user</x:v>
      </x:c>
      <x:c r="C12" s="12" t="str">
        <x:v>Submit privileged role field in request</x:v>
      </x:c>
      <x:c r="D12" s="12" t="str">
        <x:v>Ignored or denied</x:v>
      </x:c>
      <x:c r="E12" s="12" t="str"/>
      <x:c r="F12" s="12" t="str">
        <x:v>Unknown</x:v>
      </x:c>
      <x:c r="G12" s="12" t="str"/>
      <x:c r="H12" s="12" t="str"/>
    </x:row>
    <x:row r="13">
      <x:c r="A13" s="12" t="str">
        <x:v>AUTH-012</x:v>
      </x:c>
      <x:c r="B13" s="12" t="str">
        <x:v>Expired session</x:v>
      </x:c>
      <x:c r="C13" s="12" t="str">
        <x:v>Perform write action</x:v>
      </x:c>
      <x:c r="D13" s="12" t="str">
        <x:v>Reauthentication required</x:v>
      </x:c>
      <x:c r="E13" s="12" t="str"/>
      <x:c r="F13" s="12" t="str">
        <x:v>Unknown</x:v>
      </x:c>
      <x:c r="G13" s="12" t="str"/>
      <x:c r="H13" s="12" t="str"/>
    </x:row>
  </x:sheetData>
  <x:dataValidations count="1">
    <x:dataValidation type="list" sqref="F2:F200">
      <x:formula1>"Pass,Fail,Unknown,N/A"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5d424e475946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5" hidden="0" customWidth="1"/>
    <x:col min="4" max="4" width="45" hidden="0" customWidth="1"/>
    <x:col min="5" max="5" width="45" hidden="0" customWidth="1"/>
    <x:col min="6" max="6" width="12" hidden="0" customWidth="1"/>
    <x:col min="7" max="7" width="12" hidden="0" customWidth="1"/>
    <x:col min="8" max="8" width="13" hidden="0" customWidth="1"/>
    <x:col min="9" max="9" width="38" hidden="0" customWidth="1"/>
  </x:cols>
  <x:sheetData>
    <x:row r="1">
      <x:c r="A1" s="4" t="str">
        <x:v>Test ID</x:v>
      </x:c>
      <x:c r="B1" s="4" t="str">
        <x:v>Feature / journey</x:v>
      </x:c>
      <x:c r="C1" s="4" t="str">
        <x:v>Precondition</x:v>
      </x:c>
      <x:c r="D1" s="4" t="str">
        <x:v>Steps</x:v>
      </x:c>
      <x:c r="E1" s="4" t="str">
        <x:v>Expected result</x:v>
      </x:c>
      <x:c r="F1" s="4" t="str">
        <x:v>Priority</x:v>
      </x:c>
      <x:c r="G1" s="4" t="str">
        <x:v>Status</x:v>
      </x:c>
      <x:c r="H1" s="4" t="str">
        <x:v>Last run</x:v>
      </x:c>
      <x:c r="I1" s="4" t="str">
        <x:v>Evidence link / note</x:v>
      </x:c>
    </x:row>
    <x:row r="2">
      <x:c r="A2" s="12" t="str">
        <x:v>REG-001</x:v>
      </x:c>
      <x:c r="B2" s="12" t="str">
        <x:v>New user registration</x:v>
      </x:c>
      <x:c r="C2" s="12" t="str"/>
      <x:c r="D2" s="12" t="str">
        <x:v>Create account; verify; sign in</x:v>
      </x:c>
      <x:c r="E2" s="12" t="str">
        <x:v>Account created once; correct role; valid session</x:v>
      </x:c>
      <x:c r="F2" s="12" t="str">
        <x:v>Critical</x:v>
      </x:c>
      <x:c r="G2" s="12" t="str">
        <x:v>Not run</x:v>
      </x:c>
      <x:c r="H2" s="14" t="str"/>
      <x:c r="I2" s="12" t="str"/>
    </x:row>
    <x:row r="3">
      <x:c r="A3" s="12" t="str">
        <x:v>REG-002</x:v>
      </x:c>
      <x:c r="B3" s="12" t="str">
        <x:v>Existing user login</x:v>
      </x:c>
      <x:c r="C3" s="12" t="str"/>
      <x:c r="D3" s="12" t="str">
        <x:v>Sign in with valid credentials</x:v>
      </x:c>
      <x:c r="E3" s="12" t="str">
        <x:v>Correct account and destination</x:v>
      </x:c>
      <x:c r="F3" s="12" t="str">
        <x:v>Critical</x:v>
      </x:c>
      <x:c r="G3" s="12" t="str">
        <x:v>Not run</x:v>
      </x:c>
      <x:c r="H3" s="14" t="str"/>
      <x:c r="I3" s="12" t="str"/>
    </x:row>
    <x:row r="4">
      <x:c r="A4" s="12" t="str">
        <x:v>REG-003</x:v>
      </x:c>
      <x:c r="B4" s="12" t="str">
        <x:v>Invalid login</x:v>
      </x:c>
      <x:c r="C4" s="12" t="str"/>
      <x:c r="D4" s="12" t="str">
        <x:v>Submit invalid credentials</x:v>
      </x:c>
      <x:c r="E4" s="12" t="str">
        <x:v>No session; safe error</x:v>
      </x:c>
      <x:c r="F4" s="12" t="str">
        <x:v>High</x:v>
      </x:c>
      <x:c r="G4" s="12" t="str">
        <x:v>Not run</x:v>
      </x:c>
      <x:c r="H4" s="14" t="str"/>
      <x:c r="I4" s="12" t="str"/>
    </x:row>
    <x:row r="5">
      <x:c r="A5" s="12" t="str">
        <x:v>REG-004</x:v>
      </x:c>
      <x:c r="B5" s="12" t="str">
        <x:v>Primary conversion action</x:v>
      </x:c>
      <x:c r="C5" s="12" t="str"/>
      <x:c r="D5" s="12" t="str">
        <x:v>Complete the product's main user journey</x:v>
      </x:c>
      <x:c r="E5" s="12" t="str">
        <x:v>Expected durable state and confirmation</x:v>
      </x:c>
      <x:c r="F5" s="12" t="str">
        <x:v>Critical</x:v>
      </x:c>
      <x:c r="G5" s="12" t="str">
        <x:v>Not run</x:v>
      </x:c>
      <x:c r="H5" s="14" t="str"/>
      <x:c r="I5" s="12" t="str"/>
    </x:row>
    <x:row r="6">
      <x:c r="A6" s="12" t="str">
        <x:v>REG-005</x:v>
      </x:c>
      <x:c r="B6" s="12" t="str">
        <x:v>Payment or entitlement if applicable</x:v>
      </x:c>
      <x:c r="C6" s="12" t="str"/>
      <x:c r="D6" s="12" t="str">
        <x:v>Complete success and failure paths</x:v>
      </x:c>
      <x:c r="E6" s="12" t="str">
        <x:v>No false entitlement; repeat webhook safe</x:v>
      </x:c>
      <x:c r="F6" s="12" t="str">
        <x:v>Critical</x:v>
      </x:c>
      <x:c r="G6" s="12" t="str">
        <x:v>Not run</x:v>
      </x:c>
      <x:c r="H6" s="14" t="str"/>
      <x:c r="I6" s="12" t="str"/>
    </x:row>
    <x:row r="7">
      <x:c r="A7" s="12" t="str">
        <x:v>REG-006</x:v>
      </x:c>
      <x:c r="B7" s="12" t="str">
        <x:v>Record ownership</x:v>
      </x:c>
      <x:c r="C7" s="12" t="str"/>
      <x:c r="D7" s="12" t="str">
        <x:v>Create, read, update, delete own record</x:v>
      </x:c>
      <x:c r="E7" s="12" t="str">
        <x:v>Only own permitted data affected</x:v>
      </x:c>
      <x:c r="F7" s="12" t="str">
        <x:v>Critical</x:v>
      </x:c>
      <x:c r="G7" s="12" t="str">
        <x:v>Not run</x:v>
      </x:c>
      <x:c r="H7" s="14" t="str"/>
      <x:c r="I7" s="12" t="str"/>
    </x:row>
    <x:row r="8">
      <x:c r="A8" s="12" t="str">
        <x:v>REG-007</x:v>
      </x:c>
      <x:c r="B8" s="12" t="str">
        <x:v>File upload if applicable</x:v>
      </x:c>
      <x:c r="C8" s="12" t="str"/>
      <x:c r="D8" s="12" t="str">
        <x:v>Upload allowed and disallowed files</x:v>
      </x:c>
      <x:c r="E8" s="12" t="str">
        <x:v>Allowed stored privately; disallowed rejected</x:v>
      </x:c>
      <x:c r="F8" s="12" t="str">
        <x:v>High</x:v>
      </x:c>
      <x:c r="G8" s="12" t="str">
        <x:v>Not run</x:v>
      </x:c>
      <x:c r="H8" s="14" t="str"/>
      <x:c r="I8" s="12" t="str"/>
    </x:row>
    <x:row r="9">
      <x:c r="A9" s="12" t="str">
        <x:v>REG-008</x:v>
      </x:c>
      <x:c r="B9" s="12" t="str">
        <x:v>External integration failure</x:v>
      </x:c>
      <x:c r="C9" s="12" t="str"/>
      <x:c r="D9" s="12" t="str">
        <x:v>Force timeout or rejected response</x:v>
      </x:c>
      <x:c r="E9" s="12" t="str">
        <x:v>Visible failure; no invented success</x:v>
      </x:c>
      <x:c r="F9" s="12" t="str">
        <x:v>Critical</x:v>
      </x:c>
      <x:c r="G9" s="12" t="str">
        <x:v>Not run</x:v>
      </x:c>
      <x:c r="H9" s="14" t="str"/>
      <x:c r="I9" s="12" t="str"/>
    </x:row>
    <x:row r="10">
      <x:c r="A10" s="12" t="str">
        <x:v>REG-009</x:v>
      </x:c>
      <x:c r="B10" s="12" t="str">
        <x:v>Duplicate submission</x:v>
      </x:c>
      <x:c r="C10" s="12" t="str"/>
      <x:c r="D10" s="12" t="str">
        <x:v>Submit same action twice</x:v>
      </x:c>
      <x:c r="E10" s="12" t="str">
        <x:v>Idempotent or safely rejected</x:v>
      </x:c>
      <x:c r="F10" s="12" t="str">
        <x:v>High</x:v>
      </x:c>
      <x:c r="G10" s="12" t="str">
        <x:v>Not run</x:v>
      </x:c>
      <x:c r="H10" s="14" t="str"/>
      <x:c r="I10" s="12" t="str"/>
    </x:row>
    <x:row r="11">
      <x:c r="A11" s="12" t="str">
        <x:v>REG-010</x:v>
      </x:c>
      <x:c r="B11" s="12" t="str">
        <x:v>Clean-browser journey</x:v>
      </x:c>
      <x:c r="C11" s="12" t="str"/>
      <x:c r="D11" s="12" t="str">
        <x:v>Use new browser/private session</x:v>
      </x:c>
      <x:c r="E11" s="12" t="str">
        <x:v>No dependency on developer cookies or local state</x:v>
      </x:c>
      <x:c r="F11" s="12" t="str">
        <x:v>High</x:v>
      </x:c>
      <x:c r="G11" s="12" t="str">
        <x:v>Not run</x:v>
      </x:c>
      <x:c r="H11" s="14" t="str"/>
      <x:c r="I11" s="12" t="str"/>
    </x:row>
    <x:row r="12">
      <x:c r="A12" s="12"/>
      <x:c r="B12" s="12"/>
      <x:c r="C12" s="12"/>
      <x:c r="D12" s="12"/>
      <x:c r="E12" s="12"/>
      <x:c r="F12" s="12"/>
      <x:c r="G12" s="12"/>
      <x:c r="H12" s="14"/>
      <x:c r="I12" s="12"/>
    </x:row>
    <x:row r="13">
      <x:c r="A13" s="12"/>
      <x:c r="B13" s="12"/>
      <x:c r="C13" s="12"/>
      <x:c r="D13" s="12"/>
      <x:c r="E13" s="12"/>
      <x:c r="F13" s="12"/>
      <x:c r="G13" s="12"/>
      <x:c r="H13" s="14"/>
      <x:c r="I13" s="12"/>
    </x:row>
    <x:row r="14">
      <x:c r="A14" s="12"/>
      <x:c r="B14" s="12"/>
      <x:c r="C14" s="12"/>
      <x:c r="D14" s="12"/>
      <x:c r="E14" s="12"/>
      <x:c r="F14" s="12"/>
      <x:c r="G14" s="12"/>
      <x:c r="H14" s="14"/>
      <x:c r="I14" s="12"/>
    </x:row>
    <x:row r="15">
      <x:c r="A15" s="12"/>
      <x:c r="B15" s="12"/>
      <x:c r="C15" s="12"/>
      <x:c r="D15" s="12"/>
      <x:c r="E15" s="12"/>
      <x:c r="F15" s="12"/>
      <x:c r="G15" s="12"/>
      <x:c r="H15" s="14"/>
      <x:c r="I15" s="12"/>
    </x:row>
    <x:row r="16">
      <x:c r="A16" s="12"/>
      <x:c r="B16" s="12"/>
      <x:c r="C16" s="12"/>
      <x:c r="D16" s="12"/>
      <x:c r="E16" s="12"/>
      <x:c r="F16" s="12"/>
      <x:c r="G16" s="12"/>
      <x:c r="H16" s="14"/>
      <x:c r="I16" s="12"/>
    </x:row>
    <x:row r="17">
      <x:c r="A17" s="12"/>
      <x:c r="B17" s="12"/>
      <x:c r="C17" s="12"/>
      <x:c r="D17" s="12"/>
      <x:c r="E17" s="12"/>
      <x:c r="F17" s="12"/>
      <x:c r="G17" s="12"/>
      <x:c r="H17" s="14"/>
      <x:c r="I17" s="12"/>
    </x:row>
    <x:row r="18">
      <x:c r="A18" s="12"/>
      <x:c r="B18" s="12"/>
      <x:c r="C18" s="12"/>
      <x:c r="D18" s="12"/>
      <x:c r="E18" s="12"/>
      <x:c r="F18" s="12"/>
      <x:c r="G18" s="12"/>
      <x:c r="H18" s="14"/>
      <x:c r="I18" s="12"/>
    </x:row>
    <x:row r="19">
      <x:c r="A19" s="12"/>
      <x:c r="B19" s="12"/>
      <x:c r="C19" s="12"/>
      <x:c r="D19" s="12"/>
      <x:c r="E19" s="12"/>
      <x:c r="F19" s="12"/>
      <x:c r="G19" s="12"/>
      <x:c r="H19" s="14"/>
      <x:c r="I19" s="12"/>
    </x:row>
    <x:row r="20">
      <x:c r="A20" s="12"/>
      <x:c r="B20" s="12"/>
      <x:c r="C20" s="12"/>
      <x:c r="D20" s="12"/>
      <x:c r="E20" s="12"/>
      <x:c r="F20" s="12"/>
      <x:c r="G20" s="12"/>
      <x:c r="H20" s="14"/>
      <x:c r="I20" s="12"/>
    </x:row>
    <x:row r="21">
      <x:c r="A21" s="12"/>
      <x:c r="B21" s="12"/>
      <x:c r="C21" s="12"/>
      <x:c r="D21" s="12"/>
      <x:c r="E21" s="12"/>
      <x:c r="F21" s="12"/>
      <x:c r="G21" s="12"/>
      <x:c r="H21" s="14"/>
      <x:c r="I21" s="12"/>
    </x:row>
    <x:row r="22">
      <x:c r="A22" s="12"/>
      <x:c r="B22" s="12"/>
      <x:c r="C22" s="12"/>
      <x:c r="D22" s="12"/>
      <x:c r="E22" s="12"/>
      <x:c r="F22" s="12"/>
      <x:c r="G22" s="12"/>
      <x:c r="H22" s="14"/>
      <x:c r="I22" s="12"/>
    </x:row>
    <x:row r="23">
      <x:c r="A23" s="12"/>
      <x:c r="B23" s="12"/>
      <x:c r="C23" s="12"/>
      <x:c r="D23" s="12"/>
      <x:c r="E23" s="12"/>
      <x:c r="F23" s="12"/>
      <x:c r="G23" s="12"/>
      <x:c r="H23" s="14"/>
      <x:c r="I23" s="12"/>
    </x:row>
    <x:row r="24">
      <x:c r="A24" s="12"/>
      <x:c r="B24" s="12"/>
      <x:c r="C24" s="12"/>
      <x:c r="D24" s="12"/>
      <x:c r="E24" s="12"/>
      <x:c r="F24" s="12"/>
      <x:c r="G24" s="12"/>
      <x:c r="H24" s="14"/>
      <x:c r="I24" s="12"/>
    </x:row>
    <x:row r="25">
      <x:c r="A25" s="12"/>
      <x:c r="B25" s="12"/>
      <x:c r="C25" s="12"/>
      <x:c r="D25" s="12"/>
      <x:c r="E25" s="12"/>
      <x:c r="F25" s="12"/>
      <x:c r="G25" s="12"/>
      <x:c r="H25" s="14"/>
      <x:c r="I25" s="12"/>
    </x:row>
    <x:row r="26">
      <x:c r="A26" s="12"/>
      <x:c r="B26" s="12"/>
      <x:c r="C26" s="12"/>
      <x:c r="D26" s="12"/>
      <x:c r="E26" s="12"/>
      <x:c r="F26" s="12"/>
      <x:c r="G26" s="12"/>
      <x:c r="H26" s="14"/>
      <x:c r="I26" s="12"/>
    </x:row>
    <x:row r="27">
      <x:c r="A27" s="12"/>
      <x:c r="B27" s="12"/>
      <x:c r="C27" s="12"/>
      <x:c r="D27" s="12"/>
      <x:c r="E27" s="12"/>
      <x:c r="F27" s="12"/>
      <x:c r="G27" s="12"/>
      <x:c r="H27" s="14"/>
      <x:c r="I27" s="12"/>
    </x:row>
    <x:row r="28">
      <x:c r="A28" s="12"/>
      <x:c r="B28" s="12"/>
      <x:c r="C28" s="12"/>
      <x:c r="D28" s="12"/>
      <x:c r="E28" s="12"/>
      <x:c r="F28" s="12"/>
      <x:c r="G28" s="12"/>
      <x:c r="H28" s="14"/>
      <x:c r="I28" s="12"/>
    </x:row>
    <x:row r="29">
      <x:c r="A29" s="12"/>
      <x:c r="B29" s="12"/>
      <x:c r="C29" s="12"/>
      <x:c r="D29" s="12"/>
      <x:c r="E29" s="12"/>
      <x:c r="F29" s="12"/>
      <x:c r="G29" s="12"/>
      <x:c r="H29" s="14"/>
      <x:c r="I29" s="12"/>
    </x:row>
    <x:row r="30">
      <x:c r="A30" s="12"/>
      <x:c r="B30" s="12"/>
      <x:c r="C30" s="12"/>
      <x:c r="D30" s="12"/>
      <x:c r="E30" s="12"/>
      <x:c r="F30" s="12"/>
      <x:c r="G30" s="12"/>
      <x:c r="H30" s="14"/>
      <x:c r="I30" s="12"/>
    </x:row>
    <x:row r="31">
      <x:c r="A31" s="12"/>
      <x:c r="B31" s="12"/>
      <x:c r="C31" s="12"/>
      <x:c r="D31" s="12"/>
      <x:c r="E31" s="12"/>
      <x:c r="F31" s="12"/>
      <x:c r="G31" s="12"/>
      <x:c r="H31" s="14"/>
      <x:c r="I31" s="12"/>
    </x:row>
    <x:row r="32">
      <x:c r="A32" s="12"/>
      <x:c r="B32" s="12"/>
      <x:c r="C32" s="12"/>
      <x:c r="D32" s="12"/>
      <x:c r="E32" s="12"/>
      <x:c r="F32" s="12"/>
      <x:c r="G32" s="12"/>
      <x:c r="H32" s="14"/>
      <x:c r="I32" s="12"/>
    </x:row>
    <x:row r="33">
      <x:c r="A33" s="12"/>
      <x:c r="B33" s="12"/>
      <x:c r="C33" s="12"/>
      <x:c r="D33" s="12"/>
      <x:c r="E33" s="12"/>
      <x:c r="F33" s="12"/>
      <x:c r="G33" s="12"/>
      <x:c r="H33" s="14"/>
      <x:c r="I33" s="12"/>
    </x:row>
    <x:row r="34">
      <x:c r="A34" s="12"/>
      <x:c r="B34" s="12"/>
      <x:c r="C34" s="12"/>
      <x:c r="D34" s="12"/>
      <x:c r="E34" s="12"/>
      <x:c r="F34" s="12"/>
      <x:c r="G34" s="12"/>
      <x:c r="H34" s="14"/>
      <x:c r="I34" s="12"/>
    </x:row>
    <x:row r="35">
      <x:c r="A35" s="12"/>
      <x:c r="B35" s="12"/>
      <x:c r="C35" s="12"/>
      <x:c r="D35" s="12"/>
      <x:c r="E35" s="12"/>
      <x:c r="F35" s="12"/>
      <x:c r="G35" s="12"/>
      <x:c r="H35" s="14"/>
      <x:c r="I35" s="12"/>
    </x:row>
    <x:row r="36">
      <x:c r="A36" s="12"/>
      <x:c r="B36" s="12"/>
      <x:c r="C36" s="12"/>
      <x:c r="D36" s="12"/>
      <x:c r="E36" s="12"/>
      <x:c r="F36" s="12"/>
      <x:c r="G36" s="12"/>
      <x:c r="H36" s="14"/>
      <x:c r="I36" s="12"/>
    </x:row>
    <x:row r="37">
      <x:c r="A37" s="12"/>
      <x:c r="B37" s="12"/>
      <x:c r="C37" s="12"/>
      <x:c r="D37" s="12"/>
      <x:c r="E37" s="12"/>
      <x:c r="F37" s="12"/>
      <x:c r="G37" s="12"/>
      <x:c r="H37" s="14"/>
      <x:c r="I37" s="12"/>
    </x:row>
    <x:row r="38">
      <x:c r="A38" s="12"/>
      <x:c r="B38" s="12"/>
      <x:c r="C38" s="12"/>
      <x:c r="D38" s="12"/>
      <x:c r="E38" s="12"/>
      <x:c r="F38" s="12"/>
      <x:c r="G38" s="12"/>
      <x:c r="H38" s="14"/>
      <x:c r="I38" s="12"/>
    </x:row>
    <x:row r="39">
      <x:c r="A39" s="12"/>
      <x:c r="B39" s="12"/>
      <x:c r="C39" s="12"/>
      <x:c r="D39" s="12"/>
      <x:c r="E39" s="12"/>
      <x:c r="F39" s="12"/>
      <x:c r="G39" s="12"/>
      <x:c r="H39" s="14"/>
      <x:c r="I39" s="12"/>
    </x:row>
    <x:row r="40">
      <x:c r="A40" s="12"/>
      <x:c r="B40" s="12"/>
      <x:c r="C40" s="12"/>
      <x:c r="D40" s="12"/>
      <x:c r="E40" s="12"/>
      <x:c r="F40" s="12"/>
      <x:c r="G40" s="12"/>
      <x:c r="H40" s="14"/>
      <x:c r="I40" s="12"/>
    </x:row>
    <x:row r="41">
      <x:c r="A41" s="12"/>
      <x:c r="B41" s="12"/>
      <x:c r="C41" s="12"/>
      <x:c r="D41" s="12"/>
      <x:c r="E41" s="12"/>
      <x:c r="F41" s="12"/>
      <x:c r="G41" s="12"/>
      <x:c r="H41" s="14"/>
      <x:c r="I41" s="12"/>
    </x:row>
    <x:row r="42">
      <x:c r="A42" s="12"/>
      <x:c r="B42" s="12"/>
      <x:c r="C42" s="12"/>
      <x:c r="D42" s="12"/>
      <x:c r="E42" s="12"/>
      <x:c r="F42" s="12"/>
      <x:c r="G42" s="12"/>
      <x:c r="H42" s="14"/>
      <x:c r="I42" s="12"/>
    </x:row>
    <x:row r="43">
      <x:c r="A43" s="12"/>
      <x:c r="B43" s="12"/>
      <x:c r="C43" s="12"/>
      <x:c r="D43" s="12"/>
      <x:c r="E43" s="12"/>
      <x:c r="F43" s="12"/>
      <x:c r="G43" s="12"/>
      <x:c r="H43" s="14"/>
      <x:c r="I43" s="12"/>
    </x:row>
    <x:row r="44">
      <x:c r="A44" s="12"/>
      <x:c r="B44" s="12"/>
      <x:c r="C44" s="12"/>
      <x:c r="D44" s="12"/>
      <x:c r="E44" s="12"/>
      <x:c r="F44" s="12"/>
      <x:c r="G44" s="12"/>
      <x:c r="H44" s="14"/>
      <x:c r="I44" s="12"/>
    </x:row>
    <x:row r="45">
      <x:c r="A45" s="12"/>
      <x:c r="B45" s="12"/>
      <x:c r="C45" s="12"/>
      <x:c r="D45" s="12"/>
      <x:c r="E45" s="12"/>
      <x:c r="F45" s="12"/>
      <x:c r="G45" s="12"/>
      <x:c r="H45" s="14"/>
      <x:c r="I45" s="12"/>
    </x:row>
    <x:row r="46">
      <x:c r="A46" s="12"/>
      <x:c r="B46" s="12"/>
      <x:c r="C46" s="12"/>
      <x:c r="D46" s="12"/>
      <x:c r="E46" s="12"/>
      <x:c r="F46" s="12"/>
      <x:c r="G46" s="12"/>
      <x:c r="H46" s="14"/>
      <x:c r="I46" s="12"/>
    </x:row>
    <x:row r="47">
      <x:c r="A47" s="12"/>
      <x:c r="B47" s="12"/>
      <x:c r="C47" s="12"/>
      <x:c r="D47" s="12"/>
      <x:c r="E47" s="12"/>
      <x:c r="F47" s="12"/>
      <x:c r="G47" s="12"/>
      <x:c r="H47" s="14"/>
      <x:c r="I47" s="12"/>
    </x:row>
    <x:row r="48">
      <x:c r="A48" s="12"/>
      <x:c r="B48" s="12"/>
      <x:c r="C48" s="12"/>
      <x:c r="D48" s="12"/>
      <x:c r="E48" s="12"/>
      <x:c r="F48" s="12"/>
      <x:c r="G48" s="12"/>
      <x:c r="H48" s="14"/>
      <x:c r="I48" s="12"/>
    </x:row>
    <x:row r="49">
      <x:c r="A49" s="12"/>
      <x:c r="B49" s="12"/>
      <x:c r="C49" s="12"/>
      <x:c r="D49" s="12"/>
      <x:c r="E49" s="12"/>
      <x:c r="F49" s="12"/>
      <x:c r="G49" s="12"/>
      <x:c r="H49" s="14"/>
      <x:c r="I49" s="12"/>
    </x:row>
    <x:row r="50">
      <x:c r="A50" s="12"/>
      <x:c r="B50" s="12"/>
      <x:c r="C50" s="12"/>
      <x:c r="D50" s="12"/>
      <x:c r="E50" s="12"/>
      <x:c r="F50" s="12"/>
      <x:c r="G50" s="12"/>
      <x:c r="H50" s="14"/>
      <x:c r="I50" s="12"/>
    </x:row>
    <x:row r="51">
      <x:c r="A51" s="12"/>
      <x:c r="B51" s="12"/>
      <x:c r="C51" s="12"/>
      <x:c r="D51" s="12"/>
      <x:c r="E51" s="12"/>
      <x:c r="F51" s="12"/>
      <x:c r="G51" s="12"/>
      <x:c r="H51" s="14"/>
      <x:c r="I51" s="12"/>
    </x:row>
    <x:row r="52">
      <x:c r="A52" s="12"/>
      <x:c r="B52" s="12"/>
      <x:c r="C52" s="12"/>
      <x:c r="D52" s="12"/>
      <x:c r="E52" s="12"/>
      <x:c r="F52" s="12"/>
      <x:c r="G52" s="12"/>
      <x:c r="H52" s="14"/>
      <x:c r="I52" s="12"/>
    </x:row>
    <x:row r="53">
      <x:c r="A53" s="12"/>
      <x:c r="B53" s="12"/>
      <x:c r="C53" s="12"/>
      <x:c r="D53" s="12"/>
      <x:c r="E53" s="12"/>
      <x:c r="F53" s="12"/>
      <x:c r="G53" s="12"/>
      <x:c r="H53" s="14"/>
      <x:c r="I53" s="12"/>
    </x:row>
    <x:row r="54">
      <x:c r="A54" s="12"/>
      <x:c r="B54" s="12"/>
      <x:c r="C54" s="12"/>
      <x:c r="D54" s="12"/>
      <x:c r="E54" s="12"/>
      <x:c r="F54" s="12"/>
      <x:c r="G54" s="12"/>
      <x:c r="H54" s="14"/>
      <x:c r="I54" s="12"/>
    </x:row>
    <x:row r="55">
      <x:c r="A55" s="12"/>
      <x:c r="B55" s="12"/>
      <x:c r="C55" s="12"/>
      <x:c r="D55" s="12"/>
      <x:c r="E55" s="12"/>
      <x:c r="F55" s="12"/>
      <x:c r="G55" s="12"/>
      <x:c r="H55" s="14"/>
      <x:c r="I55" s="12"/>
    </x:row>
    <x:row r="56">
      <x:c r="A56" s="12"/>
      <x:c r="B56" s="12"/>
      <x:c r="C56" s="12"/>
      <x:c r="D56" s="12"/>
      <x:c r="E56" s="12"/>
      <x:c r="F56" s="12"/>
      <x:c r="G56" s="12"/>
      <x:c r="H56" s="14"/>
      <x:c r="I56" s="12"/>
    </x:row>
    <x:row r="57">
      <x:c r="A57" s="12"/>
      <x:c r="B57" s="12"/>
      <x:c r="C57" s="12"/>
      <x:c r="D57" s="12"/>
      <x:c r="E57" s="12"/>
      <x:c r="F57" s="12"/>
      <x:c r="G57" s="12"/>
      <x:c r="H57" s="14"/>
      <x:c r="I57" s="12"/>
    </x:row>
    <x:row r="58">
      <x:c r="A58" s="12"/>
      <x:c r="B58" s="12"/>
      <x:c r="C58" s="12"/>
      <x:c r="D58" s="12"/>
      <x:c r="E58" s="12"/>
      <x:c r="F58" s="12"/>
      <x:c r="G58" s="12"/>
      <x:c r="H58" s="14"/>
      <x:c r="I58" s="12"/>
    </x:row>
    <x:row r="59">
      <x:c r="A59" s="12"/>
      <x:c r="B59" s="12"/>
      <x:c r="C59" s="12"/>
      <x:c r="D59" s="12"/>
      <x:c r="E59" s="12"/>
      <x:c r="F59" s="12"/>
      <x:c r="G59" s="12"/>
      <x:c r="H59" s="14"/>
      <x:c r="I59" s="12"/>
    </x:row>
    <x:row r="60">
      <x:c r="A60" s="12"/>
      <x:c r="B60" s="12"/>
      <x:c r="C60" s="12"/>
      <x:c r="D60" s="12"/>
      <x:c r="E60" s="12"/>
      <x:c r="F60" s="12"/>
      <x:c r="G60" s="12"/>
      <x:c r="H60" s="14"/>
      <x:c r="I60" s="12"/>
    </x:row>
    <x:row r="61">
      <x:c r="A61" s="12"/>
      <x:c r="B61" s="12"/>
      <x:c r="C61" s="12"/>
      <x:c r="D61" s="12"/>
      <x:c r="E61" s="12"/>
      <x:c r="F61" s="12"/>
      <x:c r="G61" s="12"/>
      <x:c r="H61" s="14"/>
      <x:c r="I61" s="12"/>
    </x:row>
    <x:row r="62">
      <x:c r="A62" s="12"/>
      <x:c r="B62" s="12"/>
      <x:c r="C62" s="12"/>
      <x:c r="D62" s="12"/>
      <x:c r="E62" s="12"/>
      <x:c r="F62" s="12"/>
      <x:c r="G62" s="12"/>
      <x:c r="H62" s="14"/>
      <x:c r="I62" s="12"/>
    </x:row>
    <x:row r="63">
      <x:c r="A63" s="12"/>
      <x:c r="B63" s="12"/>
      <x:c r="C63" s="12"/>
      <x:c r="D63" s="12"/>
      <x:c r="E63" s="12"/>
      <x:c r="F63" s="12"/>
      <x:c r="G63" s="12"/>
      <x:c r="H63" s="14"/>
      <x:c r="I63" s="12"/>
    </x:row>
    <x:row r="64">
      <x:c r="A64" s="12"/>
      <x:c r="B64" s="12"/>
      <x:c r="C64" s="12"/>
      <x:c r="D64" s="12"/>
      <x:c r="E64" s="12"/>
      <x:c r="F64" s="12"/>
      <x:c r="G64" s="12"/>
      <x:c r="H64" s="14"/>
      <x:c r="I64" s="12"/>
    </x:row>
    <x:row r="65">
      <x:c r="A65" s="12"/>
      <x:c r="B65" s="12"/>
      <x:c r="C65" s="12"/>
      <x:c r="D65" s="12"/>
      <x:c r="E65" s="12"/>
      <x:c r="F65" s="12"/>
      <x:c r="G65" s="12"/>
      <x:c r="H65" s="14"/>
      <x:c r="I65" s="12"/>
    </x:row>
    <x:row r="66">
      <x:c r="A66" s="12"/>
      <x:c r="B66" s="12"/>
      <x:c r="C66" s="12"/>
      <x:c r="D66" s="12"/>
      <x:c r="E66" s="12"/>
      <x:c r="F66" s="12"/>
      <x:c r="G66" s="12"/>
      <x:c r="H66" s="14"/>
      <x:c r="I66" s="12"/>
    </x:row>
    <x:row r="67">
      <x:c r="A67" s="12"/>
      <x:c r="B67" s="12"/>
      <x:c r="C67" s="12"/>
      <x:c r="D67" s="12"/>
      <x:c r="E67" s="12"/>
      <x:c r="F67" s="12"/>
      <x:c r="G67" s="12"/>
      <x:c r="H67" s="14"/>
      <x:c r="I67" s="12"/>
    </x:row>
    <x:row r="68">
      <x:c r="A68" s="12"/>
      <x:c r="B68" s="12"/>
      <x:c r="C68" s="12"/>
      <x:c r="D68" s="12"/>
      <x:c r="E68" s="12"/>
      <x:c r="F68" s="12"/>
      <x:c r="G68" s="12"/>
      <x:c r="H68" s="14"/>
      <x:c r="I68" s="12"/>
    </x:row>
    <x:row r="69">
      <x:c r="A69" s="12"/>
      <x:c r="B69" s="12"/>
      <x:c r="C69" s="12"/>
      <x:c r="D69" s="12"/>
      <x:c r="E69" s="12"/>
      <x:c r="F69" s="12"/>
      <x:c r="G69" s="12"/>
      <x:c r="H69" s="14"/>
      <x:c r="I69" s="12"/>
    </x:row>
    <x:row r="70">
      <x:c r="A70" s="12"/>
      <x:c r="B70" s="12"/>
      <x:c r="C70" s="12"/>
      <x:c r="D70" s="12"/>
      <x:c r="E70" s="12"/>
      <x:c r="F70" s="12"/>
      <x:c r="G70" s="12"/>
      <x:c r="H70" s="14"/>
      <x:c r="I70" s="12"/>
    </x:row>
    <x:row r="71">
      <x:c r="A71" s="12"/>
      <x:c r="B71" s="12"/>
      <x:c r="C71" s="12"/>
      <x:c r="D71" s="12"/>
      <x:c r="E71" s="12"/>
      <x:c r="F71" s="12"/>
      <x:c r="G71" s="12"/>
      <x:c r="H71" s="14"/>
      <x:c r="I71" s="12"/>
    </x:row>
    <x:row r="72">
      <x:c r="A72" s="12"/>
      <x:c r="B72" s="12"/>
      <x:c r="C72" s="12"/>
      <x:c r="D72" s="12"/>
      <x:c r="E72" s="12"/>
      <x:c r="F72" s="12"/>
      <x:c r="G72" s="12"/>
      <x:c r="H72" s="14"/>
      <x:c r="I72" s="12"/>
    </x:row>
    <x:row r="73">
      <x:c r="A73" s="12"/>
      <x:c r="B73" s="12"/>
      <x:c r="C73" s="12"/>
      <x:c r="D73" s="12"/>
      <x:c r="E73" s="12"/>
      <x:c r="F73" s="12"/>
      <x:c r="G73" s="12"/>
      <x:c r="H73" s="14"/>
      <x:c r="I73" s="12"/>
    </x:row>
    <x:row r="74">
      <x:c r="A74" s="12"/>
      <x:c r="B74" s="12"/>
      <x:c r="C74" s="12"/>
      <x:c r="D74" s="12"/>
      <x:c r="E74" s="12"/>
      <x:c r="F74" s="12"/>
      <x:c r="G74" s="12"/>
      <x:c r="H74" s="14"/>
      <x:c r="I74" s="12"/>
    </x:row>
    <x:row r="75">
      <x:c r="A75" s="12"/>
      <x:c r="B75" s="12"/>
      <x:c r="C75" s="12"/>
      <x:c r="D75" s="12"/>
      <x:c r="E75" s="12"/>
      <x:c r="F75" s="12"/>
      <x:c r="G75" s="12"/>
      <x:c r="H75" s="14"/>
      <x:c r="I75" s="12"/>
    </x:row>
    <x:row r="76">
      <x:c r="A76" s="12"/>
      <x:c r="B76" s="12"/>
      <x:c r="C76" s="12"/>
      <x:c r="D76" s="12"/>
      <x:c r="E76" s="12"/>
      <x:c r="F76" s="12"/>
      <x:c r="G76" s="12"/>
      <x:c r="H76" s="14"/>
      <x:c r="I76" s="12"/>
    </x:row>
    <x:row r="77">
      <x:c r="A77" s="12"/>
      <x:c r="B77" s="12"/>
      <x:c r="C77" s="12"/>
      <x:c r="D77" s="12"/>
      <x:c r="E77" s="12"/>
      <x:c r="F77" s="12"/>
      <x:c r="G77" s="12"/>
      <x:c r="H77" s="14"/>
      <x:c r="I77" s="12"/>
    </x:row>
    <x:row r="78">
      <x:c r="A78" s="12"/>
      <x:c r="B78" s="12"/>
      <x:c r="C78" s="12"/>
      <x:c r="D78" s="12"/>
      <x:c r="E78" s="12"/>
      <x:c r="F78" s="12"/>
      <x:c r="G78" s="12"/>
      <x:c r="H78" s="14"/>
      <x:c r="I78" s="12"/>
    </x:row>
    <x:row r="79">
      <x:c r="A79" s="12"/>
      <x:c r="B79" s="12"/>
      <x:c r="C79" s="12"/>
      <x:c r="D79" s="12"/>
      <x:c r="E79" s="12"/>
      <x:c r="F79" s="12"/>
      <x:c r="G79" s="12"/>
      <x:c r="H79" s="14"/>
      <x:c r="I79" s="12"/>
    </x:row>
    <x:row r="80">
      <x:c r="A80" s="12"/>
      <x:c r="B80" s="12"/>
      <x:c r="C80" s="12"/>
      <x:c r="D80" s="12"/>
      <x:c r="E80" s="12"/>
      <x:c r="F80" s="12"/>
      <x:c r="G80" s="12"/>
      <x:c r="H80" s="14"/>
      <x:c r="I80" s="12"/>
    </x:row>
    <x:row r="81">
      <x:c r="A81" s="12"/>
      <x:c r="B81" s="12"/>
      <x:c r="C81" s="12"/>
      <x:c r="D81" s="12"/>
      <x:c r="E81" s="12"/>
      <x:c r="F81" s="12"/>
      <x:c r="G81" s="12"/>
      <x:c r="H81" s="14"/>
      <x:c r="I81" s="12"/>
    </x:row>
    <x:row r="82">
      <x:c r="A82" s="12"/>
      <x:c r="B82" s="12"/>
      <x:c r="C82" s="12"/>
      <x:c r="D82" s="12"/>
      <x:c r="E82" s="12"/>
      <x:c r="F82" s="12"/>
      <x:c r="G82" s="12"/>
      <x:c r="H82" s="14"/>
      <x:c r="I82" s="12"/>
    </x:row>
    <x:row r="83">
      <x:c r="A83" s="12"/>
      <x:c r="B83" s="12"/>
      <x:c r="C83" s="12"/>
      <x:c r="D83" s="12"/>
      <x:c r="E83" s="12"/>
      <x:c r="F83" s="12"/>
      <x:c r="G83" s="12"/>
      <x:c r="H83" s="14"/>
      <x:c r="I83" s="12"/>
    </x:row>
    <x:row r="84">
      <x:c r="A84" s="12"/>
      <x:c r="B84" s="12"/>
      <x:c r="C84" s="12"/>
      <x:c r="D84" s="12"/>
      <x:c r="E84" s="12"/>
      <x:c r="F84" s="12"/>
      <x:c r="G84" s="12"/>
      <x:c r="H84" s="14"/>
      <x:c r="I84" s="12"/>
    </x:row>
    <x:row r="85">
      <x:c r="A85" s="12"/>
      <x:c r="B85" s="12"/>
      <x:c r="C85" s="12"/>
      <x:c r="D85" s="12"/>
      <x:c r="E85" s="12"/>
      <x:c r="F85" s="12"/>
      <x:c r="G85" s="12"/>
      <x:c r="H85" s="14"/>
      <x:c r="I85" s="12"/>
    </x:row>
    <x:row r="86">
      <x:c r="A86" s="12"/>
      <x:c r="B86" s="12"/>
      <x:c r="C86" s="12"/>
      <x:c r="D86" s="12"/>
      <x:c r="E86" s="12"/>
      <x:c r="F86" s="12"/>
      <x:c r="G86" s="12"/>
      <x:c r="H86" s="14"/>
      <x:c r="I86" s="12"/>
    </x:row>
    <x:row r="87">
      <x:c r="A87" s="12"/>
      <x:c r="B87" s="12"/>
      <x:c r="C87" s="12"/>
      <x:c r="D87" s="12"/>
      <x:c r="E87" s="12"/>
      <x:c r="F87" s="12"/>
      <x:c r="G87" s="12"/>
      <x:c r="H87" s="14"/>
      <x:c r="I87" s="12"/>
    </x:row>
    <x:row r="88">
      <x:c r="A88" s="12"/>
      <x:c r="B88" s="12"/>
      <x:c r="C88" s="12"/>
      <x:c r="D88" s="12"/>
      <x:c r="E88" s="12"/>
      <x:c r="F88" s="12"/>
      <x:c r="G88" s="12"/>
      <x:c r="H88" s="14"/>
      <x:c r="I88" s="12"/>
    </x:row>
    <x:row r="89">
      <x:c r="A89" s="12"/>
      <x:c r="B89" s="12"/>
      <x:c r="C89" s="12"/>
      <x:c r="D89" s="12"/>
      <x:c r="E89" s="12"/>
      <x:c r="F89" s="12"/>
      <x:c r="G89" s="12"/>
      <x:c r="H89" s="14"/>
      <x:c r="I89" s="12"/>
    </x:row>
    <x:row r="90">
      <x:c r="A90" s="12"/>
      <x:c r="B90" s="12"/>
      <x:c r="C90" s="12"/>
      <x:c r="D90" s="12"/>
      <x:c r="E90" s="12"/>
      <x:c r="F90" s="12"/>
      <x:c r="G90" s="12"/>
      <x:c r="H90" s="14"/>
      <x:c r="I90" s="12"/>
    </x:row>
    <x:row r="91">
      <x:c r="A91" s="12"/>
      <x:c r="B91" s="12"/>
      <x:c r="C91" s="12"/>
      <x:c r="D91" s="12"/>
      <x:c r="E91" s="12"/>
      <x:c r="F91" s="12"/>
      <x:c r="G91" s="12"/>
      <x:c r="H91" s="14"/>
      <x:c r="I91" s="12"/>
    </x:row>
    <x:row r="92">
      <x:c r="A92" s="12"/>
      <x:c r="B92" s="12"/>
      <x:c r="C92" s="12"/>
      <x:c r="D92" s="12"/>
      <x:c r="E92" s="12"/>
      <x:c r="F92" s="12"/>
      <x:c r="G92" s="12"/>
      <x:c r="H92" s="14"/>
      <x:c r="I92" s="12"/>
    </x:row>
    <x:row r="93">
      <x:c r="A93" s="12"/>
      <x:c r="B93" s="12"/>
      <x:c r="C93" s="12"/>
      <x:c r="D93" s="12"/>
      <x:c r="E93" s="12"/>
      <x:c r="F93" s="12"/>
      <x:c r="G93" s="12"/>
      <x:c r="H93" s="14"/>
      <x:c r="I93" s="12"/>
    </x:row>
    <x:row r="94">
      <x:c r="A94" s="12"/>
      <x:c r="B94" s="12"/>
      <x:c r="C94" s="12"/>
      <x:c r="D94" s="12"/>
      <x:c r="E94" s="12"/>
      <x:c r="F94" s="12"/>
      <x:c r="G94" s="12"/>
      <x:c r="H94" s="14"/>
      <x:c r="I94" s="12"/>
    </x:row>
    <x:row r="95">
      <x:c r="A95" s="12"/>
      <x:c r="B95" s="12"/>
      <x:c r="C95" s="12"/>
      <x:c r="D95" s="12"/>
      <x:c r="E95" s="12"/>
      <x:c r="F95" s="12"/>
      <x:c r="G95" s="12"/>
      <x:c r="H95" s="14"/>
      <x:c r="I95" s="12"/>
    </x:row>
    <x:row r="96">
      <x:c r="A96" s="12"/>
      <x:c r="B96" s="12"/>
      <x:c r="C96" s="12"/>
      <x:c r="D96" s="12"/>
      <x:c r="E96" s="12"/>
      <x:c r="F96" s="12"/>
      <x:c r="G96" s="12"/>
      <x:c r="H96" s="14"/>
      <x:c r="I96" s="12"/>
    </x:row>
    <x:row r="97">
      <x:c r="A97" s="12"/>
      <x:c r="B97" s="12"/>
      <x:c r="C97" s="12"/>
      <x:c r="D97" s="12"/>
      <x:c r="E97" s="12"/>
      <x:c r="F97" s="12"/>
      <x:c r="G97" s="12"/>
      <x:c r="H97" s="14"/>
      <x:c r="I97" s="12"/>
    </x:row>
    <x:row r="98">
      <x:c r="A98" s="12"/>
      <x:c r="B98" s="12"/>
      <x:c r="C98" s="12"/>
      <x:c r="D98" s="12"/>
      <x:c r="E98" s="12"/>
      <x:c r="F98" s="12"/>
      <x:c r="G98" s="12"/>
      <x:c r="H98" s="14"/>
      <x:c r="I98" s="12"/>
    </x:row>
    <x:row r="99">
      <x:c r="A99" s="12"/>
      <x:c r="B99" s="12"/>
      <x:c r="C99" s="12"/>
      <x:c r="D99" s="12"/>
      <x:c r="E99" s="12"/>
      <x:c r="F99" s="12"/>
      <x:c r="G99" s="12"/>
      <x:c r="H99" s="14"/>
      <x:c r="I99" s="12"/>
    </x:row>
    <x:row r="100">
      <x:c r="A100" s="12"/>
      <x:c r="B100" s="12"/>
      <x:c r="C100" s="12"/>
      <x:c r="D100" s="12"/>
      <x:c r="E100" s="12"/>
      <x:c r="F100" s="12"/>
      <x:c r="G100" s="12"/>
      <x:c r="H100" s="14"/>
      <x:c r="I100" s="12"/>
    </x:row>
    <x:row r="101">
      <x:c r="A101" s="12"/>
      <x:c r="B101" s="12"/>
      <x:c r="C101" s="12"/>
      <x:c r="D101" s="12"/>
      <x:c r="E101" s="12"/>
      <x:c r="F101" s="12"/>
      <x:c r="G101" s="12"/>
      <x:c r="H101" s="14"/>
      <x:c r="I101" s="12"/>
    </x:row>
    <x:row r="102">
      <x:c r="A102" s="12"/>
      <x:c r="B102" s="12"/>
      <x:c r="C102" s="12"/>
      <x:c r="D102" s="12"/>
      <x:c r="E102" s="12"/>
      <x:c r="F102" s="12"/>
      <x:c r="G102" s="12"/>
      <x:c r="H102" s="14"/>
      <x:c r="I102" s="12"/>
    </x:row>
    <x:row r="103">
      <x:c r="A103" s="12"/>
      <x:c r="B103" s="12"/>
      <x:c r="C103" s="12"/>
      <x:c r="D103" s="12"/>
      <x:c r="E103" s="12"/>
      <x:c r="F103" s="12"/>
      <x:c r="G103" s="12"/>
      <x:c r="H103" s="14"/>
      <x:c r="I103" s="12"/>
    </x:row>
    <x:row r="104">
      <x:c r="A104" s="12"/>
      <x:c r="B104" s="12"/>
      <x:c r="C104" s="12"/>
      <x:c r="D104" s="12"/>
      <x:c r="E104" s="12"/>
      <x:c r="F104" s="12"/>
      <x:c r="G104" s="12"/>
      <x:c r="H104" s="14"/>
      <x:c r="I104" s="12"/>
    </x:row>
    <x:row r="105">
      <x:c r="A105" s="12"/>
      <x:c r="B105" s="12"/>
      <x:c r="C105" s="12"/>
      <x:c r="D105" s="12"/>
      <x:c r="E105" s="12"/>
      <x:c r="F105" s="12"/>
      <x:c r="G105" s="12"/>
      <x:c r="H105" s="14"/>
      <x:c r="I105" s="12"/>
    </x:row>
    <x:row r="106">
      <x:c r="A106" s="12"/>
      <x:c r="B106" s="12"/>
      <x:c r="C106" s="12"/>
      <x:c r="D106" s="12"/>
      <x:c r="E106" s="12"/>
      <x:c r="F106" s="12"/>
      <x:c r="G106" s="12"/>
      <x:c r="H106" s="14"/>
      <x:c r="I106" s="12"/>
    </x:row>
    <x:row r="107">
      <x:c r="A107" s="12"/>
      <x:c r="B107" s="12"/>
      <x:c r="C107" s="12"/>
      <x:c r="D107" s="12"/>
      <x:c r="E107" s="12"/>
      <x:c r="F107" s="12"/>
      <x:c r="G107" s="12"/>
      <x:c r="H107" s="14"/>
      <x:c r="I107" s="12"/>
    </x:row>
    <x:row r="108">
      <x:c r="A108" s="12"/>
      <x:c r="B108" s="12"/>
      <x:c r="C108" s="12"/>
      <x:c r="D108" s="12"/>
      <x:c r="E108" s="12"/>
      <x:c r="F108" s="12"/>
      <x:c r="G108" s="12"/>
      <x:c r="H108" s="14"/>
      <x:c r="I108" s="12"/>
    </x:row>
    <x:row r="109">
      <x:c r="A109" s="12"/>
      <x:c r="B109" s="12"/>
      <x:c r="C109" s="12"/>
      <x:c r="D109" s="12"/>
      <x:c r="E109" s="12"/>
      <x:c r="F109" s="12"/>
      <x:c r="G109" s="12"/>
      <x:c r="H109" s="14"/>
      <x:c r="I109" s="12"/>
    </x:row>
    <x:row r="110">
      <x:c r="A110" s="12"/>
      <x:c r="B110" s="12"/>
      <x:c r="C110" s="12"/>
      <x:c r="D110" s="12"/>
      <x:c r="E110" s="12"/>
      <x:c r="F110" s="12"/>
      <x:c r="G110" s="12"/>
      <x:c r="H110" s="14"/>
      <x:c r="I110" s="12"/>
    </x:row>
    <x:row r="111">
      <x:c r="A111" s="12"/>
      <x:c r="B111" s="12"/>
      <x:c r="C111" s="12"/>
      <x:c r="D111" s="12"/>
      <x:c r="E111" s="12"/>
      <x:c r="F111" s="12"/>
      <x:c r="G111" s="12"/>
      <x:c r="H111" s="14"/>
      <x:c r="I111" s="12"/>
    </x:row>
    <x:row r="112">
      <x:c r="A112" s="12"/>
      <x:c r="B112" s="12"/>
      <x:c r="C112" s="12"/>
      <x:c r="D112" s="12"/>
      <x:c r="E112" s="12"/>
      <x:c r="F112" s="12"/>
      <x:c r="G112" s="12"/>
      <x:c r="H112" s="14"/>
      <x:c r="I112" s="12"/>
    </x:row>
    <x:row r="113">
      <x:c r="A113" s="12"/>
      <x:c r="B113" s="12"/>
      <x:c r="C113" s="12"/>
      <x:c r="D113" s="12"/>
      <x:c r="E113" s="12"/>
      <x:c r="F113" s="12"/>
      <x:c r="G113" s="12"/>
      <x:c r="H113" s="14"/>
      <x:c r="I113" s="12"/>
    </x:row>
    <x:row r="114">
      <x:c r="A114" s="12"/>
      <x:c r="B114" s="12"/>
      <x:c r="C114" s="12"/>
      <x:c r="D114" s="12"/>
      <x:c r="E114" s="12"/>
      <x:c r="F114" s="12"/>
      <x:c r="G114" s="12"/>
      <x:c r="H114" s="14"/>
      <x:c r="I114" s="12"/>
    </x:row>
    <x:row r="115">
      <x:c r="A115" s="12"/>
      <x:c r="B115" s="12"/>
      <x:c r="C115" s="12"/>
      <x:c r="D115" s="12"/>
      <x:c r="E115" s="12"/>
      <x:c r="F115" s="12"/>
      <x:c r="G115" s="12"/>
      <x:c r="H115" s="14"/>
      <x:c r="I115" s="12"/>
    </x:row>
    <x:row r="116">
      <x:c r="A116" s="12"/>
      <x:c r="B116" s="12"/>
      <x:c r="C116" s="12"/>
      <x:c r="D116" s="12"/>
      <x:c r="E116" s="12"/>
      <x:c r="F116" s="12"/>
      <x:c r="G116" s="12"/>
      <x:c r="H116" s="14"/>
      <x:c r="I116" s="12"/>
    </x:row>
    <x:row r="117">
      <x:c r="A117" s="12"/>
      <x:c r="B117" s="12"/>
      <x:c r="C117" s="12"/>
      <x:c r="D117" s="12"/>
      <x:c r="E117" s="12"/>
      <x:c r="F117" s="12"/>
      <x:c r="G117" s="12"/>
      <x:c r="H117" s="14"/>
      <x:c r="I117" s="12"/>
    </x:row>
    <x:row r="118">
      <x:c r="A118" s="12"/>
      <x:c r="B118" s="12"/>
      <x:c r="C118" s="12"/>
      <x:c r="D118" s="12"/>
      <x:c r="E118" s="12"/>
      <x:c r="F118" s="12"/>
      <x:c r="G118" s="12"/>
      <x:c r="H118" s="14"/>
      <x:c r="I118" s="12"/>
    </x:row>
    <x:row r="119">
      <x:c r="A119" s="12"/>
      <x:c r="B119" s="12"/>
      <x:c r="C119" s="12"/>
      <x:c r="D119" s="12"/>
      <x:c r="E119" s="12"/>
      <x:c r="F119" s="12"/>
      <x:c r="G119" s="12"/>
      <x:c r="H119" s="14"/>
      <x:c r="I119" s="12"/>
    </x:row>
    <x:row r="120">
      <x:c r="A120" s="12"/>
      <x:c r="B120" s="12"/>
      <x:c r="C120" s="12"/>
      <x:c r="D120" s="12"/>
      <x:c r="E120" s="12"/>
      <x:c r="F120" s="12"/>
      <x:c r="G120" s="12"/>
      <x:c r="H120" s="14"/>
      <x:c r="I120" s="12"/>
    </x:row>
    <x:row r="121">
      <x:c r="A121" s="12"/>
      <x:c r="B121" s="12"/>
      <x:c r="C121" s="12"/>
      <x:c r="D121" s="12"/>
      <x:c r="E121" s="12"/>
      <x:c r="F121" s="12"/>
      <x:c r="G121" s="12"/>
      <x:c r="H121" s="14"/>
      <x:c r="I121" s="12"/>
    </x:row>
    <x:row r="122">
      <x:c r="A122" s="12"/>
      <x:c r="B122" s="12"/>
      <x:c r="C122" s="12"/>
      <x:c r="D122" s="12"/>
      <x:c r="E122" s="12"/>
      <x:c r="F122" s="12"/>
      <x:c r="G122" s="12"/>
      <x:c r="H122" s="14"/>
      <x:c r="I122" s="12"/>
    </x:row>
    <x:row r="123">
      <x:c r="A123" s="12"/>
      <x:c r="B123" s="12"/>
      <x:c r="C123" s="12"/>
      <x:c r="D123" s="12"/>
      <x:c r="E123" s="12"/>
      <x:c r="F123" s="12"/>
      <x:c r="G123" s="12"/>
      <x:c r="H123" s="14"/>
      <x:c r="I123" s="12"/>
    </x:row>
    <x:row r="124">
      <x:c r="A124" s="12"/>
      <x:c r="B124" s="12"/>
      <x:c r="C124" s="12"/>
      <x:c r="D124" s="12"/>
      <x:c r="E124" s="12"/>
      <x:c r="F124" s="12"/>
      <x:c r="G124" s="12"/>
      <x:c r="H124" s="14"/>
      <x:c r="I124" s="12"/>
    </x:row>
    <x:row r="125">
      <x:c r="A125" s="12"/>
      <x:c r="B125" s="12"/>
      <x:c r="C125" s="12"/>
      <x:c r="D125" s="12"/>
      <x:c r="E125" s="12"/>
      <x:c r="F125" s="12"/>
      <x:c r="G125" s="12"/>
      <x:c r="H125" s="14"/>
      <x:c r="I125" s="12"/>
    </x:row>
    <x:row r="126">
      <x:c r="A126" s="12"/>
      <x:c r="B126" s="12"/>
      <x:c r="C126" s="12"/>
      <x:c r="D126" s="12"/>
      <x:c r="E126" s="12"/>
      <x:c r="F126" s="12"/>
      <x:c r="G126" s="12"/>
      <x:c r="H126" s="14"/>
      <x:c r="I126" s="12"/>
    </x:row>
    <x:row r="127">
      <x:c r="A127" s="12"/>
      <x:c r="B127" s="12"/>
      <x:c r="C127" s="12"/>
      <x:c r="D127" s="12"/>
      <x:c r="E127" s="12"/>
      <x:c r="F127" s="12"/>
      <x:c r="G127" s="12"/>
      <x:c r="H127" s="14"/>
      <x:c r="I127" s="12"/>
    </x:row>
    <x:row r="128">
      <x:c r="A128" s="12"/>
      <x:c r="B128" s="12"/>
      <x:c r="C128" s="12"/>
      <x:c r="D128" s="12"/>
      <x:c r="E128" s="12"/>
      <x:c r="F128" s="12"/>
      <x:c r="G128" s="12"/>
      <x:c r="H128" s="14"/>
      <x:c r="I128" s="12"/>
    </x:row>
    <x:row r="129">
      <x:c r="A129" s="12"/>
      <x:c r="B129" s="12"/>
      <x:c r="C129" s="12"/>
      <x:c r="D129" s="12"/>
      <x:c r="E129" s="12"/>
      <x:c r="F129" s="12"/>
      <x:c r="G129" s="12"/>
      <x:c r="H129" s="14"/>
      <x:c r="I129" s="12"/>
    </x:row>
    <x:row r="130">
      <x:c r="A130" s="12"/>
      <x:c r="B130" s="12"/>
      <x:c r="C130" s="12"/>
      <x:c r="D130" s="12"/>
      <x:c r="E130" s="12"/>
      <x:c r="F130" s="12"/>
      <x:c r="G130" s="12"/>
      <x:c r="H130" s="14"/>
      <x:c r="I130" s="12"/>
    </x:row>
    <x:row r="131">
      <x:c r="A131" s="12"/>
      <x:c r="B131" s="12"/>
      <x:c r="C131" s="12"/>
      <x:c r="D131" s="12"/>
      <x:c r="E131" s="12"/>
      <x:c r="F131" s="12"/>
      <x:c r="G131" s="12"/>
      <x:c r="H131" s="14"/>
      <x:c r="I131" s="12"/>
    </x:row>
    <x:row r="132">
      <x:c r="A132" s="12"/>
      <x:c r="B132" s="12"/>
      <x:c r="C132" s="12"/>
      <x:c r="D132" s="12"/>
      <x:c r="E132" s="12"/>
      <x:c r="F132" s="12"/>
      <x:c r="G132" s="12"/>
      <x:c r="H132" s="14"/>
      <x:c r="I132" s="12"/>
    </x:row>
    <x:row r="133">
      <x:c r="A133" s="12"/>
      <x:c r="B133" s="12"/>
      <x:c r="C133" s="12"/>
      <x:c r="D133" s="12"/>
      <x:c r="E133" s="12"/>
      <x:c r="F133" s="12"/>
      <x:c r="G133" s="12"/>
      <x:c r="H133" s="14"/>
      <x:c r="I133" s="12"/>
    </x:row>
    <x:row r="134">
      <x:c r="A134" s="12"/>
      <x:c r="B134" s="12"/>
      <x:c r="C134" s="12"/>
      <x:c r="D134" s="12"/>
      <x:c r="E134" s="12"/>
      <x:c r="F134" s="12"/>
      <x:c r="G134" s="12"/>
      <x:c r="H134" s="14"/>
      <x:c r="I134" s="12"/>
    </x:row>
    <x:row r="135">
      <x:c r="A135" s="12"/>
      <x:c r="B135" s="12"/>
      <x:c r="C135" s="12"/>
      <x:c r="D135" s="12"/>
      <x:c r="E135" s="12"/>
      <x:c r="F135" s="12"/>
      <x:c r="G135" s="12"/>
      <x:c r="H135" s="14"/>
      <x:c r="I135" s="12"/>
    </x:row>
    <x:row r="136">
      <x:c r="A136" s="12"/>
      <x:c r="B136" s="12"/>
      <x:c r="C136" s="12"/>
      <x:c r="D136" s="12"/>
      <x:c r="E136" s="12"/>
      <x:c r="F136" s="12"/>
      <x:c r="G136" s="12"/>
      <x:c r="H136" s="14"/>
      <x:c r="I136" s="12"/>
    </x:row>
    <x:row r="137">
      <x:c r="A137" s="12"/>
      <x:c r="B137" s="12"/>
      <x:c r="C137" s="12"/>
      <x:c r="D137" s="12"/>
      <x:c r="E137" s="12"/>
      <x:c r="F137" s="12"/>
      <x:c r="G137" s="12"/>
      <x:c r="H137" s="14"/>
      <x:c r="I137" s="12"/>
    </x:row>
    <x:row r="138">
      <x:c r="A138" s="12"/>
      <x:c r="B138" s="12"/>
      <x:c r="C138" s="12"/>
      <x:c r="D138" s="12"/>
      <x:c r="E138" s="12"/>
      <x:c r="F138" s="12"/>
      <x:c r="G138" s="12"/>
      <x:c r="H138" s="14"/>
      <x:c r="I138" s="12"/>
    </x:row>
    <x:row r="139">
      <x:c r="A139" s="12"/>
      <x:c r="B139" s="12"/>
      <x:c r="C139" s="12"/>
      <x:c r="D139" s="12"/>
      <x:c r="E139" s="12"/>
      <x:c r="F139" s="12"/>
      <x:c r="G139" s="12"/>
      <x:c r="H139" s="14"/>
      <x:c r="I139" s="12"/>
    </x:row>
    <x:row r="140">
      <x:c r="A140" s="12"/>
      <x:c r="B140" s="12"/>
      <x:c r="C140" s="12"/>
      <x:c r="D140" s="12"/>
      <x:c r="E140" s="12"/>
      <x:c r="F140" s="12"/>
      <x:c r="G140" s="12"/>
      <x:c r="H140" s="14"/>
      <x:c r="I140" s="12"/>
    </x:row>
    <x:row r="141">
      <x:c r="A141" s="12"/>
      <x:c r="B141" s="12"/>
      <x:c r="C141" s="12"/>
      <x:c r="D141" s="12"/>
      <x:c r="E141" s="12"/>
      <x:c r="F141" s="12"/>
      <x:c r="G141" s="12"/>
      <x:c r="H141" s="14"/>
      <x:c r="I141" s="12"/>
    </x:row>
    <x:row r="142">
      <x:c r="A142" s="12"/>
      <x:c r="B142" s="12"/>
      <x:c r="C142" s="12"/>
      <x:c r="D142" s="12"/>
      <x:c r="E142" s="12"/>
      <x:c r="F142" s="12"/>
      <x:c r="G142" s="12"/>
      <x:c r="H142" s="14"/>
      <x:c r="I142" s="12"/>
    </x:row>
    <x:row r="143">
      <x:c r="A143" s="12"/>
      <x:c r="B143" s="12"/>
      <x:c r="C143" s="12"/>
      <x:c r="D143" s="12"/>
      <x:c r="E143" s="12"/>
      <x:c r="F143" s="12"/>
      <x:c r="G143" s="12"/>
      <x:c r="H143" s="14"/>
      <x:c r="I143" s="12"/>
    </x:row>
    <x:row r="144">
      <x:c r="A144" s="12"/>
      <x:c r="B144" s="12"/>
      <x:c r="C144" s="12"/>
      <x:c r="D144" s="12"/>
      <x:c r="E144" s="12"/>
      <x:c r="F144" s="12"/>
      <x:c r="G144" s="12"/>
      <x:c r="H144" s="14"/>
      <x:c r="I144" s="12"/>
    </x:row>
    <x:row r="145">
      <x:c r="A145" s="12"/>
      <x:c r="B145" s="12"/>
      <x:c r="C145" s="12"/>
      <x:c r="D145" s="12"/>
      <x:c r="E145" s="12"/>
      <x:c r="F145" s="12"/>
      <x:c r="G145" s="12"/>
      <x:c r="H145" s="14"/>
      <x:c r="I145" s="12"/>
    </x:row>
    <x:row r="146">
      <x:c r="A146" s="12"/>
      <x:c r="B146" s="12"/>
      <x:c r="C146" s="12"/>
      <x:c r="D146" s="12"/>
      <x:c r="E146" s="12"/>
      <x:c r="F146" s="12"/>
      <x:c r="G146" s="12"/>
      <x:c r="H146" s="14"/>
      <x:c r="I146" s="12"/>
    </x:row>
    <x:row r="147">
      <x:c r="A147" s="12"/>
      <x:c r="B147" s="12"/>
      <x:c r="C147" s="12"/>
      <x:c r="D147" s="12"/>
      <x:c r="E147" s="12"/>
      <x:c r="F147" s="12"/>
      <x:c r="G147" s="12"/>
      <x:c r="H147" s="14"/>
      <x:c r="I147" s="12"/>
    </x:row>
    <x:row r="148">
      <x:c r="A148" s="12"/>
      <x:c r="B148" s="12"/>
      <x:c r="C148" s="12"/>
      <x:c r="D148" s="12"/>
      <x:c r="E148" s="12"/>
      <x:c r="F148" s="12"/>
      <x:c r="G148" s="12"/>
      <x:c r="H148" s="14"/>
      <x:c r="I148" s="12"/>
    </x:row>
    <x:row r="149">
      <x:c r="A149" s="12"/>
      <x:c r="B149" s="12"/>
      <x:c r="C149" s="12"/>
      <x:c r="D149" s="12"/>
      <x:c r="E149" s="12"/>
      <x:c r="F149" s="12"/>
      <x:c r="G149" s="12"/>
      <x:c r="H149" s="14"/>
      <x:c r="I149" s="12"/>
    </x:row>
    <x:row r="150">
      <x:c r="A150" s="12"/>
      <x:c r="B150" s="12"/>
      <x:c r="C150" s="12"/>
      <x:c r="D150" s="12"/>
      <x:c r="E150" s="12"/>
      <x:c r="F150" s="12"/>
      <x:c r="G150" s="12"/>
      <x:c r="H150" s="14"/>
      <x:c r="I150" s="12"/>
    </x:row>
    <x:row r="151">
      <x:c r="A151" s="12"/>
      <x:c r="B151" s="12"/>
      <x:c r="C151" s="12"/>
      <x:c r="D151" s="12"/>
      <x:c r="E151" s="12"/>
      <x:c r="F151" s="12"/>
      <x:c r="G151" s="12"/>
      <x:c r="H151" s="14"/>
      <x:c r="I151" s="12"/>
    </x:row>
    <x:row r="152">
      <x:c r="A152" s="12"/>
      <x:c r="B152" s="12"/>
      <x:c r="C152" s="12"/>
      <x:c r="D152" s="12"/>
      <x:c r="E152" s="12"/>
      <x:c r="F152" s="12"/>
      <x:c r="G152" s="12"/>
      <x:c r="H152" s="14"/>
      <x:c r="I152" s="12"/>
    </x:row>
    <x:row r="153">
      <x:c r="A153" s="12"/>
      <x:c r="B153" s="12"/>
      <x:c r="C153" s="12"/>
      <x:c r="D153" s="12"/>
      <x:c r="E153" s="12"/>
      <x:c r="F153" s="12"/>
      <x:c r="G153" s="12"/>
      <x:c r="H153" s="14"/>
      <x:c r="I153" s="12"/>
    </x:row>
    <x:row r="154">
      <x:c r="A154" s="12"/>
      <x:c r="B154" s="12"/>
      <x:c r="C154" s="12"/>
      <x:c r="D154" s="12"/>
      <x:c r="E154" s="12"/>
      <x:c r="F154" s="12"/>
      <x:c r="G154" s="12"/>
      <x:c r="H154" s="14"/>
      <x:c r="I154" s="12"/>
    </x:row>
    <x:row r="155">
      <x:c r="A155" s="12"/>
      <x:c r="B155" s="12"/>
      <x:c r="C155" s="12"/>
      <x:c r="D155" s="12"/>
      <x:c r="E155" s="12"/>
      <x:c r="F155" s="12"/>
      <x:c r="G155" s="12"/>
      <x:c r="H155" s="14"/>
      <x:c r="I155" s="12"/>
    </x:row>
    <x:row r="156">
      <x:c r="A156" s="12"/>
      <x:c r="B156" s="12"/>
      <x:c r="C156" s="12"/>
      <x:c r="D156" s="12"/>
      <x:c r="E156" s="12"/>
      <x:c r="F156" s="12"/>
      <x:c r="G156" s="12"/>
      <x:c r="H156" s="14"/>
      <x:c r="I156" s="12"/>
    </x:row>
    <x:row r="157">
      <x:c r="A157" s="12"/>
      <x:c r="B157" s="12"/>
      <x:c r="C157" s="12"/>
      <x:c r="D157" s="12"/>
      <x:c r="E157" s="12"/>
      <x:c r="F157" s="12"/>
      <x:c r="G157" s="12"/>
      <x:c r="H157" s="14"/>
      <x:c r="I157" s="12"/>
    </x:row>
    <x:row r="158">
      <x:c r="A158" s="12"/>
      <x:c r="B158" s="12"/>
      <x:c r="C158" s="12"/>
      <x:c r="D158" s="12"/>
      <x:c r="E158" s="12"/>
      <x:c r="F158" s="12"/>
      <x:c r="G158" s="12"/>
      <x:c r="H158" s="14"/>
      <x:c r="I158" s="12"/>
    </x:row>
    <x:row r="159">
      <x:c r="A159" s="12"/>
      <x:c r="B159" s="12"/>
      <x:c r="C159" s="12"/>
      <x:c r="D159" s="12"/>
      <x:c r="E159" s="12"/>
      <x:c r="F159" s="12"/>
      <x:c r="G159" s="12"/>
      <x:c r="H159" s="14"/>
      <x:c r="I159" s="12"/>
    </x:row>
    <x:row r="160">
      <x:c r="A160" s="12"/>
      <x:c r="B160" s="12"/>
      <x:c r="C160" s="12"/>
      <x:c r="D160" s="12"/>
      <x:c r="E160" s="12"/>
      <x:c r="F160" s="12"/>
      <x:c r="G160" s="12"/>
      <x:c r="H160" s="14"/>
      <x:c r="I160" s="12"/>
    </x:row>
    <x:row r="161">
      <x:c r="A161" s="12"/>
      <x:c r="B161" s="12"/>
      <x:c r="C161" s="12"/>
      <x:c r="D161" s="12"/>
      <x:c r="E161" s="12"/>
      <x:c r="F161" s="12"/>
      <x:c r="G161" s="12"/>
      <x:c r="H161" s="14"/>
      <x:c r="I161" s="12"/>
    </x:row>
    <x:row r="162">
      <x:c r="A162" s="12"/>
      <x:c r="B162" s="12"/>
      <x:c r="C162" s="12"/>
      <x:c r="D162" s="12"/>
      <x:c r="E162" s="12"/>
      <x:c r="F162" s="12"/>
      <x:c r="G162" s="12"/>
      <x:c r="H162" s="14"/>
      <x:c r="I162" s="12"/>
    </x:row>
    <x:row r="163">
      <x:c r="A163" s="12"/>
      <x:c r="B163" s="12"/>
      <x:c r="C163" s="12"/>
      <x:c r="D163" s="12"/>
      <x:c r="E163" s="12"/>
      <x:c r="F163" s="12"/>
      <x:c r="G163" s="12"/>
      <x:c r="H163" s="14"/>
      <x:c r="I163" s="12"/>
    </x:row>
    <x:row r="164">
      <x:c r="A164" s="12"/>
      <x:c r="B164" s="12"/>
      <x:c r="C164" s="12"/>
      <x:c r="D164" s="12"/>
      <x:c r="E164" s="12"/>
      <x:c r="F164" s="12"/>
      <x:c r="G164" s="12"/>
      <x:c r="H164" s="14"/>
      <x:c r="I164" s="12"/>
    </x:row>
    <x:row r="165">
      <x:c r="A165" s="12"/>
      <x:c r="B165" s="12"/>
      <x:c r="C165" s="12"/>
      <x:c r="D165" s="12"/>
      <x:c r="E165" s="12"/>
      <x:c r="F165" s="12"/>
      <x:c r="G165" s="12"/>
      <x:c r="H165" s="14"/>
      <x:c r="I165" s="12"/>
    </x:row>
    <x:row r="166">
      <x:c r="A166" s="12"/>
      <x:c r="B166" s="12"/>
      <x:c r="C166" s="12"/>
      <x:c r="D166" s="12"/>
      <x:c r="E166" s="12"/>
      <x:c r="F166" s="12"/>
      <x:c r="G166" s="12"/>
      <x:c r="H166" s="14"/>
      <x:c r="I166" s="12"/>
    </x:row>
    <x:row r="167">
      <x:c r="A167" s="12"/>
      <x:c r="B167" s="12"/>
      <x:c r="C167" s="12"/>
      <x:c r="D167" s="12"/>
      <x:c r="E167" s="12"/>
      <x:c r="F167" s="12"/>
      <x:c r="G167" s="12"/>
      <x:c r="H167" s="14"/>
      <x:c r="I167" s="12"/>
    </x:row>
    <x:row r="168">
      <x:c r="A168" s="12"/>
      <x:c r="B168" s="12"/>
      <x:c r="C168" s="12"/>
      <x:c r="D168" s="12"/>
      <x:c r="E168" s="12"/>
      <x:c r="F168" s="12"/>
      <x:c r="G168" s="12"/>
      <x:c r="H168" s="14"/>
      <x:c r="I168" s="12"/>
    </x:row>
    <x:row r="169">
      <x:c r="A169" s="12"/>
      <x:c r="B169" s="12"/>
      <x:c r="C169" s="12"/>
      <x:c r="D169" s="12"/>
      <x:c r="E169" s="12"/>
      <x:c r="F169" s="12"/>
      <x:c r="G169" s="12"/>
      <x:c r="H169" s="14"/>
      <x:c r="I169" s="12"/>
    </x:row>
    <x:row r="170">
      <x:c r="A170" s="12"/>
      <x:c r="B170" s="12"/>
      <x:c r="C170" s="12"/>
      <x:c r="D170" s="12"/>
      <x:c r="E170" s="12"/>
      <x:c r="F170" s="12"/>
      <x:c r="G170" s="12"/>
      <x:c r="H170" s="14"/>
      <x:c r="I170" s="12"/>
    </x:row>
    <x:row r="171">
      <x:c r="A171" s="12"/>
      <x:c r="B171" s="12"/>
      <x:c r="C171" s="12"/>
      <x:c r="D171" s="12"/>
      <x:c r="E171" s="12"/>
      <x:c r="F171" s="12"/>
      <x:c r="G171" s="12"/>
      <x:c r="H171" s="14"/>
      <x:c r="I171" s="12"/>
    </x:row>
    <x:row r="172">
      <x:c r="A172" s="12"/>
      <x:c r="B172" s="12"/>
      <x:c r="C172" s="12"/>
      <x:c r="D172" s="12"/>
      <x:c r="E172" s="12"/>
      <x:c r="F172" s="12"/>
      <x:c r="G172" s="12"/>
      <x:c r="H172" s="14"/>
      <x:c r="I172" s="12"/>
    </x:row>
    <x:row r="173">
      <x:c r="A173" s="12"/>
      <x:c r="B173" s="12"/>
      <x:c r="C173" s="12"/>
      <x:c r="D173" s="12"/>
      <x:c r="E173" s="12"/>
      <x:c r="F173" s="12"/>
      <x:c r="G173" s="12"/>
      <x:c r="H173" s="14"/>
      <x:c r="I173" s="12"/>
    </x:row>
    <x:row r="174">
      <x:c r="A174" s="12"/>
      <x:c r="B174" s="12"/>
      <x:c r="C174" s="12"/>
      <x:c r="D174" s="12"/>
      <x:c r="E174" s="12"/>
      <x:c r="F174" s="12"/>
      <x:c r="G174" s="12"/>
      <x:c r="H174" s="14"/>
      <x:c r="I174" s="12"/>
    </x:row>
    <x:row r="175">
      <x:c r="A175" s="12"/>
      <x:c r="B175" s="12"/>
      <x:c r="C175" s="12"/>
      <x:c r="D175" s="12"/>
      <x:c r="E175" s="12"/>
      <x:c r="F175" s="12"/>
      <x:c r="G175" s="12"/>
      <x:c r="H175" s="14"/>
      <x:c r="I175" s="12"/>
    </x:row>
    <x:row r="176">
      <x:c r="A176" s="12"/>
      <x:c r="B176" s="12"/>
      <x:c r="C176" s="12"/>
      <x:c r="D176" s="12"/>
      <x:c r="E176" s="12"/>
      <x:c r="F176" s="12"/>
      <x:c r="G176" s="12"/>
      <x:c r="H176" s="14"/>
      <x:c r="I176" s="12"/>
    </x:row>
    <x:row r="177">
      <x:c r="A177" s="12"/>
      <x:c r="B177" s="12"/>
      <x:c r="C177" s="12"/>
      <x:c r="D177" s="12"/>
      <x:c r="E177" s="12"/>
      <x:c r="F177" s="12"/>
      <x:c r="G177" s="12"/>
      <x:c r="H177" s="14"/>
      <x:c r="I177" s="12"/>
    </x:row>
    <x:row r="178">
      <x:c r="A178" s="12"/>
      <x:c r="B178" s="12"/>
      <x:c r="C178" s="12"/>
      <x:c r="D178" s="12"/>
      <x:c r="E178" s="12"/>
      <x:c r="F178" s="12"/>
      <x:c r="G178" s="12"/>
      <x:c r="H178" s="14"/>
      <x:c r="I178" s="12"/>
    </x:row>
    <x:row r="179">
      <x:c r="A179" s="12"/>
      <x:c r="B179" s="12"/>
      <x:c r="C179" s="12"/>
      <x:c r="D179" s="12"/>
      <x:c r="E179" s="12"/>
      <x:c r="F179" s="12"/>
      <x:c r="G179" s="12"/>
      <x:c r="H179" s="14"/>
      <x:c r="I179" s="12"/>
    </x:row>
    <x:row r="180">
      <x:c r="A180" s="12"/>
      <x:c r="B180" s="12"/>
      <x:c r="C180" s="12"/>
      <x:c r="D180" s="12"/>
      <x:c r="E180" s="12"/>
      <x:c r="F180" s="12"/>
      <x:c r="G180" s="12"/>
      <x:c r="H180" s="14"/>
      <x:c r="I180" s="12"/>
    </x:row>
    <x:row r="181">
      <x:c r="A181" s="12"/>
      <x:c r="B181" s="12"/>
      <x:c r="C181" s="12"/>
      <x:c r="D181" s="12"/>
      <x:c r="E181" s="12"/>
      <x:c r="F181" s="12"/>
      <x:c r="G181" s="12"/>
      <x:c r="H181" s="14"/>
      <x:c r="I181" s="12"/>
    </x:row>
    <x:row r="182">
      <x:c r="A182" s="12"/>
      <x:c r="B182" s="12"/>
      <x:c r="C182" s="12"/>
      <x:c r="D182" s="12"/>
      <x:c r="E182" s="12"/>
      <x:c r="F182" s="12"/>
      <x:c r="G182" s="12"/>
      <x:c r="H182" s="14"/>
      <x:c r="I182" s="12"/>
    </x:row>
    <x:row r="183">
      <x:c r="A183" s="12"/>
      <x:c r="B183" s="12"/>
      <x:c r="C183" s="12"/>
      <x:c r="D183" s="12"/>
      <x:c r="E183" s="12"/>
      <x:c r="F183" s="12"/>
      <x:c r="G183" s="12"/>
      <x:c r="H183" s="14"/>
      <x:c r="I183" s="12"/>
    </x:row>
    <x:row r="184">
      <x:c r="A184" s="12"/>
      <x:c r="B184" s="12"/>
      <x:c r="C184" s="12"/>
      <x:c r="D184" s="12"/>
      <x:c r="E184" s="12"/>
      <x:c r="F184" s="12"/>
      <x:c r="G184" s="12"/>
      <x:c r="H184" s="14"/>
      <x:c r="I184" s="12"/>
    </x:row>
    <x:row r="185">
      <x:c r="A185" s="12"/>
      <x:c r="B185" s="12"/>
      <x:c r="C185" s="12"/>
      <x:c r="D185" s="12"/>
      <x:c r="E185" s="12"/>
      <x:c r="F185" s="12"/>
      <x:c r="G185" s="12"/>
      <x:c r="H185" s="14"/>
      <x:c r="I185" s="12"/>
    </x:row>
    <x:row r="186">
      <x:c r="A186" s="12"/>
      <x:c r="B186" s="12"/>
      <x:c r="C186" s="12"/>
      <x:c r="D186" s="12"/>
      <x:c r="E186" s="12"/>
      <x:c r="F186" s="12"/>
      <x:c r="G186" s="12"/>
      <x:c r="H186" s="14"/>
      <x:c r="I186" s="12"/>
    </x:row>
    <x:row r="187">
      <x:c r="A187" s="12"/>
      <x:c r="B187" s="12"/>
      <x:c r="C187" s="12"/>
      <x:c r="D187" s="12"/>
      <x:c r="E187" s="12"/>
      <x:c r="F187" s="12"/>
      <x:c r="G187" s="12"/>
      <x:c r="H187" s="14"/>
      <x:c r="I187" s="12"/>
    </x:row>
    <x:row r="188">
      <x:c r="A188" s="12"/>
      <x:c r="B188" s="12"/>
      <x:c r="C188" s="12"/>
      <x:c r="D188" s="12"/>
      <x:c r="E188" s="12"/>
      <x:c r="F188" s="12"/>
      <x:c r="G188" s="12"/>
      <x:c r="H188" s="14"/>
      <x:c r="I188" s="12"/>
    </x:row>
    <x:row r="189">
      <x:c r="A189" s="12"/>
      <x:c r="B189" s="12"/>
      <x:c r="C189" s="12"/>
      <x:c r="D189" s="12"/>
      <x:c r="E189" s="12"/>
      <x:c r="F189" s="12"/>
      <x:c r="G189" s="12"/>
      <x:c r="H189" s="14"/>
      <x:c r="I189" s="12"/>
    </x:row>
    <x:row r="190">
      <x:c r="A190" s="12"/>
      <x:c r="B190" s="12"/>
      <x:c r="C190" s="12"/>
      <x:c r="D190" s="12"/>
      <x:c r="E190" s="12"/>
      <x:c r="F190" s="12"/>
      <x:c r="G190" s="12"/>
      <x:c r="H190" s="14"/>
      <x:c r="I190" s="12"/>
    </x:row>
    <x:row r="191">
      <x:c r="A191" s="12"/>
      <x:c r="B191" s="12"/>
      <x:c r="C191" s="12"/>
      <x:c r="D191" s="12"/>
      <x:c r="E191" s="12"/>
      <x:c r="F191" s="12"/>
      <x:c r="G191" s="12"/>
      <x:c r="H191" s="14"/>
      <x:c r="I191" s="12"/>
    </x:row>
    <x:row r="192">
      <x:c r="A192" s="12"/>
      <x:c r="B192" s="12"/>
      <x:c r="C192" s="12"/>
      <x:c r="D192" s="12"/>
      <x:c r="E192" s="12"/>
      <x:c r="F192" s="12"/>
      <x:c r="G192" s="12"/>
      <x:c r="H192" s="14"/>
      <x:c r="I192" s="12"/>
    </x:row>
    <x:row r="193">
      <x:c r="A193" s="12"/>
      <x:c r="B193" s="12"/>
      <x:c r="C193" s="12"/>
      <x:c r="D193" s="12"/>
      <x:c r="E193" s="12"/>
      <x:c r="F193" s="12"/>
      <x:c r="G193" s="12"/>
      <x:c r="H193" s="14"/>
      <x:c r="I193" s="12"/>
    </x:row>
    <x:row r="194">
      <x:c r="A194" s="12"/>
      <x:c r="B194" s="12"/>
      <x:c r="C194" s="12"/>
      <x:c r="D194" s="12"/>
      <x:c r="E194" s="12"/>
      <x:c r="F194" s="12"/>
      <x:c r="G194" s="12"/>
      <x:c r="H194" s="14"/>
      <x:c r="I194" s="12"/>
    </x:row>
    <x:row r="195">
      <x:c r="A195" s="12"/>
      <x:c r="B195" s="12"/>
      <x:c r="C195" s="12"/>
      <x:c r="D195" s="12"/>
      <x:c r="E195" s="12"/>
      <x:c r="F195" s="12"/>
      <x:c r="G195" s="12"/>
      <x:c r="H195" s="14"/>
      <x:c r="I195" s="12"/>
    </x:row>
    <x:row r="196">
      <x:c r="A196" s="12"/>
      <x:c r="B196" s="12"/>
      <x:c r="C196" s="12"/>
      <x:c r="D196" s="12"/>
      <x:c r="E196" s="12"/>
      <x:c r="F196" s="12"/>
      <x:c r="G196" s="12"/>
      <x:c r="H196" s="14"/>
      <x:c r="I196" s="12"/>
    </x:row>
    <x:row r="197">
      <x:c r="A197" s="12"/>
      <x:c r="B197" s="12"/>
      <x:c r="C197" s="12"/>
      <x:c r="D197" s="12"/>
      <x:c r="E197" s="12"/>
      <x:c r="F197" s="12"/>
      <x:c r="G197" s="12"/>
      <x:c r="H197" s="14"/>
      <x:c r="I197" s="12"/>
    </x:row>
    <x:row r="198">
      <x:c r="A198" s="12"/>
      <x:c r="B198" s="12"/>
      <x:c r="C198" s="12"/>
      <x:c r="D198" s="12"/>
      <x:c r="E198" s="12"/>
      <x:c r="F198" s="12"/>
      <x:c r="G198" s="12"/>
      <x:c r="H198" s="14"/>
      <x:c r="I198" s="12"/>
    </x:row>
    <x:row r="199">
      <x:c r="A199" s="12"/>
      <x:c r="B199" s="12"/>
      <x:c r="C199" s="12"/>
      <x:c r="D199" s="12"/>
      <x:c r="E199" s="12"/>
      <x:c r="F199" s="12"/>
      <x:c r="G199" s="12"/>
      <x:c r="H199" s="14"/>
      <x:c r="I199" s="12"/>
    </x:row>
    <x:row r="200">
      <x:c r="A200" s="12"/>
      <x:c r="B200" s="12"/>
      <x:c r="C200" s="12"/>
      <x:c r="D200" s="12"/>
      <x:c r="E200" s="12"/>
      <x:c r="F200" s="12"/>
      <x:c r="G200" s="12"/>
      <x:c r="H200" s="14"/>
      <x:c r="I200" s="12"/>
    </x:row>
  </x:sheetData>
  <x:dataValidations count="1">
    <x:dataValidation type="list" sqref="G2:G200">
      <x:formula1>"Pass,Fail,Blocked,Not run,N/A"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52682319d1445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5" hidden="0" customWidth="1"/>
    <x:col min="3" max="3" width="45" hidden="0" customWidth="1"/>
    <x:col min="4" max="4" width="12" hidden="0" customWidth="1"/>
    <x:col min="5" max="5" width="38" hidden="0" customWidth="1"/>
    <x:col min="6" max="6" width="18" hidden="0" customWidth="1"/>
    <x:col min="7" max="7" width="15" hidden="0" customWidth="1"/>
    <x:col min="8" max="8" width="42" hidden="0" customWidth="1"/>
  </x:cols>
  <x:sheetData>
    <x:row r="1">
      <x:c r="A1" s="4" t="str">
        <x:v>Evidence ID</x:v>
      </x:c>
      <x:c r="B1" s="4" t="str">
        <x:v>Requirement / claim</x:v>
      </x:c>
      <x:c r="C1" s="4" t="str">
        <x:v>Required proof</x:v>
      </x:c>
      <x:c r="D1" s="4" t="str">
        <x:v>Result</x:v>
      </x:c>
      <x:c r="E1" s="4" t="str">
        <x:v>Location / link</x:v>
      </x:c>
      <x:c r="F1" s="4" t="str">
        <x:v>Reviewer</x:v>
      </x:c>
      <x:c r="G1" s="4" t="str">
        <x:v>Reviewed date</x:v>
      </x:c>
      <x:c r="H1" s="4" t="str">
        <x:v>Notes</x:v>
      </x:c>
    </x:row>
    <x:row r="2">
      <x:c r="A2" s="12" t="str">
        <x:v>EV-001</x:v>
      </x:c>
      <x:c r="B2" s="12" t="str">
        <x:v>Core tests pass</x:v>
      </x:c>
      <x:c r="C2" s="12" t="str">
        <x:v>Test command output and summary</x:v>
      </x:c>
      <x:c r="D2" s="12" t="str"/>
      <x:c r="E2" s="12" t="str"/>
      <x:c r="F2" s="12" t="str"/>
      <x:c r="G2" s="14" t="str"/>
      <x:c r="H2" s="12" t="str"/>
    </x:row>
    <x:row r="3">
      <x:c r="A3" s="12" t="str">
        <x:v>EV-002</x:v>
      </x:c>
      <x:c r="B3" s="12" t="str">
        <x:v>No critical security failure</x:v>
      </x:c>
      <x:c r="C3" s="12" t="str">
        <x:v>Completed security preflight and findings disposition</x:v>
      </x:c>
      <x:c r="D3" s="12" t="str"/>
      <x:c r="E3" s="12" t="str"/>
      <x:c r="F3" s="12" t="str"/>
      <x:c r="G3" s="14" t="str"/>
      <x:c r="H3" s="12" t="str"/>
    </x:row>
    <x:row r="4">
      <x:c r="A4" s="12" t="str">
        <x:v>EV-003</x:v>
      </x:c>
      <x:c r="B4" s="12" t="str">
        <x:v>Diff is understood</x:v>
      </x:c>
      <x:c r="C4" s="12" t="str">
        <x:v>Human review of changed files and unexpected changes</x:v>
      </x:c>
      <x:c r="D4" s="12" t="str"/>
      <x:c r="E4" s="12" t="str"/>
      <x:c r="F4" s="12" t="str"/>
      <x:c r="G4" s="14" t="str"/>
      <x:c r="H4" s="12" t="str"/>
    </x:row>
    <x:row r="5">
      <x:c r="A5" s="12" t="str">
        <x:v>EV-004</x:v>
      </x:c>
      <x:c r="B5" s="12" t="str">
        <x:v>Secrets are protected</x:v>
      </x:c>
      <x:c r="C5" s="12" t="str">
        <x:v>Repository/history/client-bundle checks</x:v>
      </x:c>
      <x:c r="D5" s="12" t="str"/>
      <x:c r="E5" s="12" t="str"/>
      <x:c r="F5" s="12" t="str"/>
      <x:c r="G5" s="14" t="str"/>
      <x:c r="H5" s="12" t="str"/>
    </x:row>
    <x:row r="6">
      <x:c r="A6" s="12" t="str">
        <x:v>EV-005</x:v>
      </x:c>
      <x:c r="B6" s="12" t="str">
        <x:v>Authorization is enforced</x:v>
      </x:c>
      <x:c r="C6" s="12" t="str">
        <x:v>Completed authorization test matrix</x:v>
      </x:c>
      <x:c r="D6" s="12" t="str"/>
      <x:c r="E6" s="12" t="str"/>
      <x:c r="F6" s="12" t="str"/>
      <x:c r="G6" s="14" t="str"/>
      <x:c r="H6" s="12" t="str"/>
    </x:row>
    <x:row r="7">
      <x:c r="A7" s="12" t="str">
        <x:v>EV-006</x:v>
      </x:c>
      <x:c r="B7" s="12" t="str">
        <x:v>Rollback works</x:v>
      </x:c>
      <x:c r="C7" s="12" t="str">
        <x:v>Recorded rollback drill</x:v>
      </x:c>
      <x:c r="D7" s="12" t="str"/>
      <x:c r="E7" s="12" t="str"/>
      <x:c r="F7" s="12" t="str"/>
      <x:c r="G7" s="14" t="str"/>
      <x:c r="H7" s="12" t="str"/>
    </x:row>
    <x:row r="8">
      <x:c r="A8" s="12" t="str">
        <x:v>EV-007</x:v>
      </x:c>
      <x:c r="B8" s="12" t="str">
        <x:v>Deployment is healthy</x:v>
      </x:c>
      <x:c r="C8" s="12" t="str">
        <x:v>Post-deploy smoke-test output</x:v>
      </x:c>
      <x:c r="D8" s="12" t="str"/>
      <x:c r="E8" s="12" t="str"/>
      <x:c r="F8" s="12" t="str"/>
      <x:c r="G8" s="14" t="str"/>
      <x:c r="H8" s="12" t="str"/>
    </x:row>
    <x:row r="9">
      <x:c r="A9" s="12" t="str">
        <x:v>EV-008</x:v>
      </x:c>
      <x:c r="B9" s="12" t="str">
        <x:v>Acceptance criteria are satisfied</x:v>
      </x:c>
      <x:c r="C9" s="12" t="str">
        <x:v>Criterion-by-criterion evidence</x:v>
      </x:c>
      <x:c r="D9" s="12" t="str"/>
      <x:c r="E9" s="12" t="str"/>
      <x:c r="F9" s="12" t="str"/>
      <x:c r="G9" s="14" t="str"/>
      <x:c r="H9" s="12" t="str"/>
    </x:row>
    <x:row r="10">
      <x:c r="A10" s="12" t="str">
        <x:v>EV-009</x:v>
      </x:c>
      <x:c r="B10" s="12" t="str">
        <x:v>Residual risk is accepted</x:v>
      </x:c>
      <x:c r="C10" s="12" t="str">
        <x:v>Signed/dated go-no-go record</x:v>
      </x:c>
      <x:c r="D10" s="12" t="str"/>
      <x:c r="E10" s="12" t="str"/>
      <x:c r="F10" s="12" t="str"/>
      <x:c r="G10" s="14" t="str"/>
      <x:c r="H10" s="12" t="str"/>
    </x:row>
    <x:row r="11">
      <x:c r="A11" s="12"/>
      <x:c r="B11" s="12"/>
      <x:c r="C11" s="12"/>
      <x:c r="D11" s="12"/>
      <x:c r="E11" s="12"/>
      <x:c r="F11" s="12"/>
      <x:c r="G11" s="14"/>
      <x:c r="H11" s="12"/>
    </x:row>
    <x:row r="12">
      <x:c r="A12" s="12"/>
      <x:c r="B12" s="12"/>
      <x:c r="C12" s="12"/>
      <x:c r="D12" s="12"/>
      <x:c r="E12" s="12"/>
      <x:c r="F12" s="12"/>
      <x:c r="G12" s="14"/>
      <x:c r="H12" s="12"/>
    </x:row>
    <x:row r="13">
      <x:c r="A13" s="12"/>
      <x:c r="B13" s="12"/>
      <x:c r="C13" s="12"/>
      <x:c r="D13" s="12"/>
      <x:c r="E13" s="12"/>
      <x:c r="F13" s="12"/>
      <x:c r="G13" s="14"/>
      <x:c r="H13" s="12"/>
    </x:row>
    <x:row r="14">
      <x:c r="A14" s="12"/>
      <x:c r="B14" s="12"/>
      <x:c r="C14" s="12"/>
      <x:c r="D14" s="12"/>
      <x:c r="E14" s="12"/>
      <x:c r="F14" s="12"/>
      <x:c r="G14" s="14"/>
      <x:c r="H14" s="12"/>
    </x:row>
    <x:row r="15">
      <x:c r="A15" s="12"/>
      <x:c r="B15" s="12"/>
      <x:c r="C15" s="12"/>
      <x:c r="D15" s="12"/>
      <x:c r="E15" s="12"/>
      <x:c r="F15" s="12"/>
      <x:c r="G15" s="14"/>
      <x:c r="H15" s="12"/>
    </x:row>
    <x:row r="16">
      <x:c r="A16" s="12"/>
      <x:c r="B16" s="12"/>
      <x:c r="C16" s="12"/>
      <x:c r="D16" s="12"/>
      <x:c r="E16" s="12"/>
      <x:c r="F16" s="12"/>
      <x:c r="G16" s="14"/>
      <x:c r="H16" s="12"/>
    </x:row>
    <x:row r="17">
      <x:c r="A17" s="12"/>
      <x:c r="B17" s="12"/>
      <x:c r="C17" s="12"/>
      <x:c r="D17" s="12"/>
      <x:c r="E17" s="12"/>
      <x:c r="F17" s="12"/>
      <x:c r="G17" s="14"/>
      <x:c r="H17" s="12"/>
    </x:row>
    <x:row r="18">
      <x:c r="A18" s="12"/>
      <x:c r="B18" s="12"/>
      <x:c r="C18" s="12"/>
      <x:c r="D18" s="12"/>
      <x:c r="E18" s="12"/>
      <x:c r="F18" s="12"/>
      <x:c r="G18" s="14"/>
      <x:c r="H18" s="12"/>
    </x:row>
    <x:row r="19">
      <x:c r="A19" s="12"/>
      <x:c r="B19" s="12"/>
      <x:c r="C19" s="12"/>
      <x:c r="D19" s="12"/>
      <x:c r="E19" s="12"/>
      <x:c r="F19" s="12"/>
      <x:c r="G19" s="14"/>
      <x:c r="H19" s="12"/>
    </x:row>
    <x:row r="20">
      <x:c r="A20" s="12"/>
      <x:c r="B20" s="12"/>
      <x:c r="C20" s="12"/>
      <x:c r="D20" s="12"/>
      <x:c r="E20" s="12"/>
      <x:c r="F20" s="12"/>
      <x:c r="G20" s="14"/>
      <x:c r="H20" s="12"/>
    </x:row>
    <x:row r="21">
      <x:c r="A21" s="12"/>
      <x:c r="B21" s="12"/>
      <x:c r="C21" s="12"/>
      <x:c r="D21" s="12"/>
      <x:c r="E21" s="12"/>
      <x:c r="F21" s="12"/>
      <x:c r="G21" s="14"/>
      <x:c r="H21" s="12"/>
    </x:row>
    <x:row r="22">
      <x:c r="A22" s="12"/>
      <x:c r="B22" s="12"/>
      <x:c r="C22" s="12"/>
      <x:c r="D22" s="12"/>
      <x:c r="E22" s="12"/>
      <x:c r="F22" s="12"/>
      <x:c r="G22" s="14"/>
      <x:c r="H22" s="12"/>
    </x:row>
    <x:row r="23">
      <x:c r="A23" s="12"/>
      <x:c r="B23" s="12"/>
      <x:c r="C23" s="12"/>
      <x:c r="D23" s="12"/>
      <x:c r="E23" s="12"/>
      <x:c r="F23" s="12"/>
      <x:c r="G23" s="14"/>
      <x:c r="H23" s="12"/>
    </x:row>
    <x:row r="24">
      <x:c r="A24" s="12"/>
      <x:c r="B24" s="12"/>
      <x:c r="C24" s="12"/>
      <x:c r="D24" s="12"/>
      <x:c r="E24" s="12"/>
      <x:c r="F24" s="12"/>
      <x:c r="G24" s="14"/>
      <x:c r="H24" s="12"/>
    </x:row>
    <x:row r="25">
      <x:c r="A25" s="12"/>
      <x:c r="B25" s="12"/>
      <x:c r="C25" s="12"/>
      <x:c r="D25" s="12"/>
      <x:c r="E25" s="12"/>
      <x:c r="F25" s="12"/>
      <x:c r="G25" s="14"/>
      <x:c r="H25" s="12"/>
    </x:row>
    <x:row r="26">
      <x:c r="A26" s="12"/>
      <x:c r="B26" s="12"/>
      <x:c r="C26" s="12"/>
      <x:c r="D26" s="12"/>
      <x:c r="E26" s="12"/>
      <x:c r="F26" s="12"/>
      <x:c r="G26" s="14"/>
      <x:c r="H26" s="12"/>
    </x:row>
    <x:row r="27">
      <x:c r="A27" s="12"/>
      <x:c r="B27" s="12"/>
      <x:c r="C27" s="12"/>
      <x:c r="D27" s="12"/>
      <x:c r="E27" s="12"/>
      <x:c r="F27" s="12"/>
      <x:c r="G27" s="14"/>
      <x:c r="H27" s="12"/>
    </x:row>
    <x:row r="28">
      <x:c r="A28" s="12"/>
      <x:c r="B28" s="12"/>
      <x:c r="C28" s="12"/>
      <x:c r="D28" s="12"/>
      <x:c r="E28" s="12"/>
      <x:c r="F28" s="12"/>
      <x:c r="G28" s="14"/>
      <x:c r="H28" s="12"/>
    </x:row>
    <x:row r="29">
      <x:c r="A29" s="12"/>
      <x:c r="B29" s="12"/>
      <x:c r="C29" s="12"/>
      <x:c r="D29" s="12"/>
      <x:c r="E29" s="12"/>
      <x:c r="F29" s="12"/>
      <x:c r="G29" s="14"/>
      <x:c r="H29" s="12"/>
    </x:row>
    <x:row r="30">
      <x:c r="A30" s="12"/>
      <x:c r="B30" s="12"/>
      <x:c r="C30" s="12"/>
      <x:c r="D30" s="12"/>
      <x:c r="E30" s="12"/>
      <x:c r="F30" s="12"/>
      <x:c r="G30" s="14"/>
      <x:c r="H30" s="12"/>
    </x:row>
    <x:row r="31">
      <x:c r="A31" s="12"/>
      <x:c r="B31" s="12"/>
      <x:c r="C31" s="12"/>
      <x:c r="D31" s="12"/>
      <x:c r="E31" s="12"/>
      <x:c r="F31" s="12"/>
      <x:c r="G31" s="14"/>
      <x:c r="H31" s="12"/>
    </x:row>
    <x:row r="32">
      <x:c r="A32" s="12"/>
      <x:c r="B32" s="12"/>
      <x:c r="C32" s="12"/>
      <x:c r="D32" s="12"/>
      <x:c r="E32" s="12"/>
      <x:c r="F32" s="12"/>
      <x:c r="G32" s="14"/>
      <x:c r="H32" s="12"/>
    </x:row>
    <x:row r="33">
      <x:c r="A33" s="12"/>
      <x:c r="B33" s="12"/>
      <x:c r="C33" s="12"/>
      <x:c r="D33" s="12"/>
      <x:c r="E33" s="12"/>
      <x:c r="F33" s="12"/>
      <x:c r="G33" s="14"/>
      <x:c r="H33" s="12"/>
    </x:row>
    <x:row r="34">
      <x:c r="A34" s="12"/>
      <x:c r="B34" s="12"/>
      <x:c r="C34" s="12"/>
      <x:c r="D34" s="12"/>
      <x:c r="E34" s="12"/>
      <x:c r="F34" s="12"/>
      <x:c r="G34" s="14"/>
      <x:c r="H34" s="12"/>
    </x:row>
    <x:row r="35">
      <x:c r="A35" s="12"/>
      <x:c r="B35" s="12"/>
      <x:c r="C35" s="12"/>
      <x:c r="D35" s="12"/>
      <x:c r="E35" s="12"/>
      <x:c r="F35" s="12"/>
      <x:c r="G35" s="14"/>
      <x:c r="H35" s="12"/>
    </x:row>
    <x:row r="36">
      <x:c r="A36" s="12"/>
      <x:c r="B36" s="12"/>
      <x:c r="C36" s="12"/>
      <x:c r="D36" s="12"/>
      <x:c r="E36" s="12"/>
      <x:c r="F36" s="12"/>
      <x:c r="G36" s="14"/>
      <x:c r="H36" s="12"/>
    </x:row>
    <x:row r="37">
      <x:c r="A37" s="12"/>
      <x:c r="B37" s="12"/>
      <x:c r="C37" s="12"/>
      <x:c r="D37" s="12"/>
      <x:c r="E37" s="12"/>
      <x:c r="F37" s="12"/>
      <x:c r="G37" s="14"/>
      <x:c r="H37" s="12"/>
    </x:row>
    <x:row r="38">
      <x:c r="A38" s="12"/>
      <x:c r="B38" s="12"/>
      <x:c r="C38" s="12"/>
      <x:c r="D38" s="12"/>
      <x:c r="E38" s="12"/>
      <x:c r="F38" s="12"/>
      <x:c r="G38" s="14"/>
      <x:c r="H38" s="12"/>
    </x:row>
    <x:row r="39">
      <x:c r="A39" s="12"/>
      <x:c r="B39" s="12"/>
      <x:c r="C39" s="12"/>
      <x:c r="D39" s="12"/>
      <x:c r="E39" s="12"/>
      <x:c r="F39" s="12"/>
      <x:c r="G39" s="14"/>
      <x:c r="H39" s="12"/>
    </x:row>
    <x:row r="40">
      <x:c r="A40" s="12"/>
      <x:c r="B40" s="12"/>
      <x:c r="C40" s="12"/>
      <x:c r="D40" s="12"/>
      <x:c r="E40" s="12"/>
      <x:c r="F40" s="12"/>
      <x:c r="G40" s="14"/>
      <x:c r="H40" s="12"/>
    </x:row>
    <x:row r="41">
      <x:c r="A41" s="12"/>
      <x:c r="B41" s="12"/>
      <x:c r="C41" s="12"/>
      <x:c r="D41" s="12"/>
      <x:c r="E41" s="12"/>
      <x:c r="F41" s="12"/>
      <x:c r="G41" s="14"/>
      <x:c r="H41" s="12"/>
    </x:row>
    <x:row r="42">
      <x:c r="A42" s="12"/>
      <x:c r="B42" s="12"/>
      <x:c r="C42" s="12"/>
      <x:c r="D42" s="12"/>
      <x:c r="E42" s="12"/>
      <x:c r="F42" s="12"/>
      <x:c r="G42" s="14"/>
      <x:c r="H42" s="12"/>
    </x:row>
    <x:row r="43">
      <x:c r="A43" s="12"/>
      <x:c r="B43" s="12"/>
      <x:c r="C43" s="12"/>
      <x:c r="D43" s="12"/>
      <x:c r="E43" s="12"/>
      <x:c r="F43" s="12"/>
      <x:c r="G43" s="14"/>
      <x:c r="H43" s="12"/>
    </x:row>
    <x:row r="44">
      <x:c r="A44" s="12"/>
      <x:c r="B44" s="12"/>
      <x:c r="C44" s="12"/>
      <x:c r="D44" s="12"/>
      <x:c r="E44" s="12"/>
      <x:c r="F44" s="12"/>
      <x:c r="G44" s="14"/>
      <x:c r="H44" s="12"/>
    </x:row>
    <x:row r="45">
      <x:c r="A45" s="12"/>
      <x:c r="B45" s="12"/>
      <x:c r="C45" s="12"/>
      <x:c r="D45" s="12"/>
      <x:c r="E45" s="12"/>
      <x:c r="F45" s="12"/>
      <x:c r="G45" s="14"/>
      <x:c r="H45" s="12"/>
    </x:row>
    <x:row r="46">
      <x:c r="A46" s="12"/>
      <x:c r="B46" s="12"/>
      <x:c r="C46" s="12"/>
      <x:c r="D46" s="12"/>
      <x:c r="E46" s="12"/>
      <x:c r="F46" s="12"/>
      <x:c r="G46" s="14"/>
      <x:c r="H46" s="12"/>
    </x:row>
    <x:row r="47">
      <x:c r="A47" s="12"/>
      <x:c r="B47" s="12"/>
      <x:c r="C47" s="12"/>
      <x:c r="D47" s="12"/>
      <x:c r="E47" s="12"/>
      <x:c r="F47" s="12"/>
      <x:c r="G47" s="14"/>
      <x:c r="H47" s="12"/>
    </x:row>
    <x:row r="48">
      <x:c r="A48" s="12"/>
      <x:c r="B48" s="12"/>
      <x:c r="C48" s="12"/>
      <x:c r="D48" s="12"/>
      <x:c r="E48" s="12"/>
      <x:c r="F48" s="12"/>
      <x:c r="G48" s="14"/>
      <x:c r="H48" s="12"/>
    </x:row>
    <x:row r="49">
      <x:c r="A49" s="12"/>
      <x:c r="B49" s="12"/>
      <x:c r="C49" s="12"/>
      <x:c r="D49" s="12"/>
      <x:c r="E49" s="12"/>
      <x:c r="F49" s="12"/>
      <x:c r="G49" s="14"/>
      <x:c r="H49" s="12"/>
    </x:row>
    <x:row r="50">
      <x:c r="A50" s="12"/>
      <x:c r="B50" s="12"/>
      <x:c r="C50" s="12"/>
      <x:c r="D50" s="12"/>
      <x:c r="E50" s="12"/>
      <x:c r="F50" s="12"/>
      <x:c r="G50" s="14"/>
      <x:c r="H50" s="12"/>
    </x:row>
    <x:row r="51">
      <x:c r="A51" s="12"/>
      <x:c r="B51" s="12"/>
      <x:c r="C51" s="12"/>
      <x:c r="D51" s="12"/>
      <x:c r="E51" s="12"/>
      <x:c r="F51" s="12"/>
      <x:c r="G51" s="14"/>
      <x:c r="H51" s="12"/>
    </x:row>
    <x:row r="52">
      <x:c r="A52" s="12"/>
      <x:c r="B52" s="12"/>
      <x:c r="C52" s="12"/>
      <x:c r="D52" s="12"/>
      <x:c r="E52" s="12"/>
      <x:c r="F52" s="12"/>
      <x:c r="G52" s="14"/>
      <x:c r="H52" s="12"/>
    </x:row>
    <x:row r="53">
      <x:c r="A53" s="12"/>
      <x:c r="B53" s="12"/>
      <x:c r="C53" s="12"/>
      <x:c r="D53" s="12"/>
      <x:c r="E53" s="12"/>
      <x:c r="F53" s="12"/>
      <x:c r="G53" s="14"/>
      <x:c r="H53" s="12"/>
    </x:row>
    <x:row r="54">
      <x:c r="A54" s="12"/>
      <x:c r="B54" s="12"/>
      <x:c r="C54" s="12"/>
      <x:c r="D54" s="12"/>
      <x:c r="E54" s="12"/>
      <x:c r="F54" s="12"/>
      <x:c r="G54" s="14"/>
      <x:c r="H54" s="12"/>
    </x:row>
    <x:row r="55">
      <x:c r="A55" s="12"/>
      <x:c r="B55" s="12"/>
      <x:c r="C55" s="12"/>
      <x:c r="D55" s="12"/>
      <x:c r="E55" s="12"/>
      <x:c r="F55" s="12"/>
      <x:c r="G55" s="14"/>
      <x:c r="H55" s="12"/>
    </x:row>
    <x:row r="56">
      <x:c r="A56" s="12"/>
      <x:c r="B56" s="12"/>
      <x:c r="C56" s="12"/>
      <x:c r="D56" s="12"/>
      <x:c r="E56" s="12"/>
      <x:c r="F56" s="12"/>
      <x:c r="G56" s="14"/>
      <x:c r="H56" s="12"/>
    </x:row>
    <x:row r="57">
      <x:c r="A57" s="12"/>
      <x:c r="B57" s="12"/>
      <x:c r="C57" s="12"/>
      <x:c r="D57" s="12"/>
      <x:c r="E57" s="12"/>
      <x:c r="F57" s="12"/>
      <x:c r="G57" s="14"/>
      <x:c r="H57" s="12"/>
    </x:row>
    <x:row r="58">
      <x:c r="A58" s="12"/>
      <x:c r="B58" s="12"/>
      <x:c r="C58" s="12"/>
      <x:c r="D58" s="12"/>
      <x:c r="E58" s="12"/>
      <x:c r="F58" s="12"/>
      <x:c r="G58" s="14"/>
      <x:c r="H58" s="12"/>
    </x:row>
    <x:row r="59">
      <x:c r="A59" s="12"/>
      <x:c r="B59" s="12"/>
      <x:c r="C59" s="12"/>
      <x:c r="D59" s="12"/>
      <x:c r="E59" s="12"/>
      <x:c r="F59" s="12"/>
      <x:c r="G59" s="14"/>
      <x:c r="H59" s="12"/>
    </x:row>
    <x:row r="60">
      <x:c r="A60" s="12"/>
      <x:c r="B60" s="12"/>
      <x:c r="C60" s="12"/>
      <x:c r="D60" s="12"/>
      <x:c r="E60" s="12"/>
      <x:c r="F60" s="12"/>
      <x:c r="G60" s="14"/>
      <x:c r="H60" s="12"/>
    </x:row>
    <x:row r="61">
      <x:c r="A61" s="12"/>
      <x:c r="B61" s="12"/>
      <x:c r="C61" s="12"/>
      <x:c r="D61" s="12"/>
      <x:c r="E61" s="12"/>
      <x:c r="F61" s="12"/>
      <x:c r="G61" s="14"/>
      <x:c r="H61" s="12"/>
    </x:row>
    <x:row r="62">
      <x:c r="A62" s="12"/>
      <x:c r="B62" s="12"/>
      <x:c r="C62" s="12"/>
      <x:c r="D62" s="12"/>
      <x:c r="E62" s="12"/>
      <x:c r="F62" s="12"/>
      <x:c r="G62" s="14"/>
      <x:c r="H62" s="12"/>
    </x:row>
    <x:row r="63">
      <x:c r="A63" s="12"/>
      <x:c r="B63" s="12"/>
      <x:c r="C63" s="12"/>
      <x:c r="D63" s="12"/>
      <x:c r="E63" s="12"/>
      <x:c r="F63" s="12"/>
      <x:c r="G63" s="14"/>
      <x:c r="H63" s="12"/>
    </x:row>
    <x:row r="64">
      <x:c r="A64" s="12"/>
      <x:c r="B64" s="12"/>
      <x:c r="C64" s="12"/>
      <x:c r="D64" s="12"/>
      <x:c r="E64" s="12"/>
      <x:c r="F64" s="12"/>
      <x:c r="G64" s="14"/>
      <x:c r="H64" s="12"/>
    </x:row>
    <x:row r="65">
      <x:c r="A65" s="12"/>
      <x:c r="B65" s="12"/>
      <x:c r="C65" s="12"/>
      <x:c r="D65" s="12"/>
      <x:c r="E65" s="12"/>
      <x:c r="F65" s="12"/>
      <x:c r="G65" s="14"/>
      <x:c r="H65" s="12"/>
    </x:row>
    <x:row r="66">
      <x:c r="A66" s="12"/>
      <x:c r="B66" s="12"/>
      <x:c r="C66" s="12"/>
      <x:c r="D66" s="12"/>
      <x:c r="E66" s="12"/>
      <x:c r="F66" s="12"/>
      <x:c r="G66" s="14"/>
      <x:c r="H66" s="12"/>
    </x:row>
    <x:row r="67">
      <x:c r="A67" s="12"/>
      <x:c r="B67" s="12"/>
      <x:c r="C67" s="12"/>
      <x:c r="D67" s="12"/>
      <x:c r="E67" s="12"/>
      <x:c r="F67" s="12"/>
      <x:c r="G67" s="14"/>
      <x:c r="H67" s="12"/>
    </x:row>
    <x:row r="68">
      <x:c r="A68" s="12"/>
      <x:c r="B68" s="12"/>
      <x:c r="C68" s="12"/>
      <x:c r="D68" s="12"/>
      <x:c r="E68" s="12"/>
      <x:c r="F68" s="12"/>
      <x:c r="G68" s="14"/>
      <x:c r="H68" s="12"/>
    </x:row>
    <x:row r="69">
      <x:c r="A69" s="12"/>
      <x:c r="B69" s="12"/>
      <x:c r="C69" s="12"/>
      <x:c r="D69" s="12"/>
      <x:c r="E69" s="12"/>
      <x:c r="F69" s="12"/>
      <x:c r="G69" s="14"/>
      <x:c r="H69" s="12"/>
    </x:row>
    <x:row r="70">
      <x:c r="A70" s="12"/>
      <x:c r="B70" s="12"/>
      <x:c r="C70" s="12"/>
      <x:c r="D70" s="12"/>
      <x:c r="E70" s="12"/>
      <x:c r="F70" s="12"/>
      <x:c r="G70" s="14"/>
      <x:c r="H70" s="12"/>
    </x:row>
    <x:row r="71">
      <x:c r="A71" s="12"/>
      <x:c r="B71" s="12"/>
      <x:c r="C71" s="12"/>
      <x:c r="D71" s="12"/>
      <x:c r="E71" s="12"/>
      <x:c r="F71" s="12"/>
      <x:c r="G71" s="14"/>
      <x:c r="H71" s="12"/>
    </x:row>
    <x:row r="72">
      <x:c r="A72" s="12"/>
      <x:c r="B72" s="12"/>
      <x:c r="C72" s="12"/>
      <x:c r="D72" s="12"/>
      <x:c r="E72" s="12"/>
      <x:c r="F72" s="12"/>
      <x:c r="G72" s="14"/>
      <x:c r="H72" s="12"/>
    </x:row>
    <x:row r="73">
      <x:c r="A73" s="12"/>
      <x:c r="B73" s="12"/>
      <x:c r="C73" s="12"/>
      <x:c r="D73" s="12"/>
      <x:c r="E73" s="12"/>
      <x:c r="F73" s="12"/>
      <x:c r="G73" s="14"/>
      <x:c r="H73" s="12"/>
    </x:row>
    <x:row r="74">
      <x:c r="A74" s="12"/>
      <x:c r="B74" s="12"/>
      <x:c r="C74" s="12"/>
      <x:c r="D74" s="12"/>
      <x:c r="E74" s="12"/>
      <x:c r="F74" s="12"/>
      <x:c r="G74" s="14"/>
      <x:c r="H74" s="12"/>
    </x:row>
    <x:row r="75">
      <x:c r="A75" s="12"/>
      <x:c r="B75" s="12"/>
      <x:c r="C75" s="12"/>
      <x:c r="D75" s="12"/>
      <x:c r="E75" s="12"/>
      <x:c r="F75" s="12"/>
      <x:c r="G75" s="14"/>
      <x:c r="H75" s="12"/>
    </x:row>
    <x:row r="76">
      <x:c r="A76" s="12"/>
      <x:c r="B76" s="12"/>
      <x:c r="C76" s="12"/>
      <x:c r="D76" s="12"/>
      <x:c r="E76" s="12"/>
      <x:c r="F76" s="12"/>
      <x:c r="G76" s="14"/>
      <x:c r="H76" s="12"/>
    </x:row>
    <x:row r="77">
      <x:c r="A77" s="12"/>
      <x:c r="B77" s="12"/>
      <x:c r="C77" s="12"/>
      <x:c r="D77" s="12"/>
      <x:c r="E77" s="12"/>
      <x:c r="F77" s="12"/>
      <x:c r="G77" s="14"/>
      <x:c r="H77" s="12"/>
    </x:row>
    <x:row r="78">
      <x:c r="A78" s="12"/>
      <x:c r="B78" s="12"/>
      <x:c r="C78" s="12"/>
      <x:c r="D78" s="12"/>
      <x:c r="E78" s="12"/>
      <x:c r="F78" s="12"/>
      <x:c r="G78" s="14"/>
      <x:c r="H78" s="12"/>
    </x:row>
    <x:row r="79">
      <x:c r="A79" s="12"/>
      <x:c r="B79" s="12"/>
      <x:c r="C79" s="12"/>
      <x:c r="D79" s="12"/>
      <x:c r="E79" s="12"/>
      <x:c r="F79" s="12"/>
      <x:c r="G79" s="14"/>
      <x:c r="H79" s="12"/>
    </x:row>
    <x:row r="80">
      <x:c r="A80" s="12"/>
      <x:c r="B80" s="12"/>
      <x:c r="C80" s="12"/>
      <x:c r="D80" s="12"/>
      <x:c r="E80" s="12"/>
      <x:c r="F80" s="12"/>
      <x:c r="G80" s="14"/>
      <x:c r="H80" s="12"/>
    </x:row>
    <x:row r="81">
      <x:c r="A81" s="12"/>
      <x:c r="B81" s="12"/>
      <x:c r="C81" s="12"/>
      <x:c r="D81" s="12"/>
      <x:c r="E81" s="12"/>
      <x:c r="F81" s="12"/>
      <x:c r="G81" s="14"/>
      <x:c r="H81" s="12"/>
    </x:row>
    <x:row r="82">
      <x:c r="A82" s="12"/>
      <x:c r="B82" s="12"/>
      <x:c r="C82" s="12"/>
      <x:c r="D82" s="12"/>
      <x:c r="E82" s="12"/>
      <x:c r="F82" s="12"/>
      <x:c r="G82" s="14"/>
      <x:c r="H82" s="12"/>
    </x:row>
    <x:row r="83">
      <x:c r="A83" s="12"/>
      <x:c r="B83" s="12"/>
      <x:c r="C83" s="12"/>
      <x:c r="D83" s="12"/>
      <x:c r="E83" s="12"/>
      <x:c r="F83" s="12"/>
      <x:c r="G83" s="14"/>
      <x:c r="H83" s="12"/>
    </x:row>
    <x:row r="84">
      <x:c r="A84" s="12"/>
      <x:c r="B84" s="12"/>
      <x:c r="C84" s="12"/>
      <x:c r="D84" s="12"/>
      <x:c r="E84" s="12"/>
      <x:c r="F84" s="12"/>
      <x:c r="G84" s="14"/>
      <x:c r="H84" s="12"/>
    </x:row>
    <x:row r="85">
      <x:c r="A85" s="12"/>
      <x:c r="B85" s="12"/>
      <x:c r="C85" s="12"/>
      <x:c r="D85" s="12"/>
      <x:c r="E85" s="12"/>
      <x:c r="F85" s="12"/>
      <x:c r="G85" s="14"/>
      <x:c r="H85" s="12"/>
    </x:row>
    <x:row r="86">
      <x:c r="A86" s="12"/>
      <x:c r="B86" s="12"/>
      <x:c r="C86" s="12"/>
      <x:c r="D86" s="12"/>
      <x:c r="E86" s="12"/>
      <x:c r="F86" s="12"/>
      <x:c r="G86" s="14"/>
      <x:c r="H86" s="12"/>
    </x:row>
    <x:row r="87">
      <x:c r="A87" s="12"/>
      <x:c r="B87" s="12"/>
      <x:c r="C87" s="12"/>
      <x:c r="D87" s="12"/>
      <x:c r="E87" s="12"/>
      <x:c r="F87" s="12"/>
      <x:c r="G87" s="14"/>
      <x:c r="H87" s="12"/>
    </x:row>
    <x:row r="88">
      <x:c r="A88" s="12"/>
      <x:c r="B88" s="12"/>
      <x:c r="C88" s="12"/>
      <x:c r="D88" s="12"/>
      <x:c r="E88" s="12"/>
      <x:c r="F88" s="12"/>
      <x:c r="G88" s="14"/>
      <x:c r="H88" s="12"/>
    </x:row>
    <x:row r="89">
      <x:c r="A89" s="12"/>
      <x:c r="B89" s="12"/>
      <x:c r="C89" s="12"/>
      <x:c r="D89" s="12"/>
      <x:c r="E89" s="12"/>
      <x:c r="F89" s="12"/>
      <x:c r="G89" s="14"/>
      <x:c r="H89" s="12"/>
    </x:row>
    <x:row r="90">
      <x:c r="A90" s="12"/>
      <x:c r="B90" s="12"/>
      <x:c r="C90" s="12"/>
      <x:c r="D90" s="12"/>
      <x:c r="E90" s="12"/>
      <x:c r="F90" s="12"/>
      <x:c r="G90" s="14"/>
      <x:c r="H90" s="12"/>
    </x:row>
    <x:row r="91">
      <x:c r="A91" s="12"/>
      <x:c r="B91" s="12"/>
      <x:c r="C91" s="12"/>
      <x:c r="D91" s="12"/>
      <x:c r="E91" s="12"/>
      <x:c r="F91" s="12"/>
      <x:c r="G91" s="14"/>
      <x:c r="H91" s="12"/>
    </x:row>
    <x:row r="92">
      <x:c r="A92" s="12"/>
      <x:c r="B92" s="12"/>
      <x:c r="C92" s="12"/>
      <x:c r="D92" s="12"/>
      <x:c r="E92" s="12"/>
      <x:c r="F92" s="12"/>
      <x:c r="G92" s="14"/>
      <x:c r="H92" s="12"/>
    </x:row>
    <x:row r="93">
      <x:c r="A93" s="12"/>
      <x:c r="B93" s="12"/>
      <x:c r="C93" s="12"/>
      <x:c r="D93" s="12"/>
      <x:c r="E93" s="12"/>
      <x:c r="F93" s="12"/>
      <x:c r="G93" s="14"/>
      <x:c r="H93" s="12"/>
    </x:row>
    <x:row r="94">
      <x:c r="A94" s="12"/>
      <x:c r="B94" s="12"/>
      <x:c r="C94" s="12"/>
      <x:c r="D94" s="12"/>
      <x:c r="E94" s="12"/>
      <x:c r="F94" s="12"/>
      <x:c r="G94" s="14"/>
      <x:c r="H94" s="12"/>
    </x:row>
    <x:row r="95">
      <x:c r="A95" s="12"/>
      <x:c r="B95" s="12"/>
      <x:c r="C95" s="12"/>
      <x:c r="D95" s="12"/>
      <x:c r="E95" s="12"/>
      <x:c r="F95" s="12"/>
      <x:c r="G95" s="14"/>
      <x:c r="H95" s="12"/>
    </x:row>
    <x:row r="96">
      <x:c r="A96" s="12"/>
      <x:c r="B96" s="12"/>
      <x:c r="C96" s="12"/>
      <x:c r="D96" s="12"/>
      <x:c r="E96" s="12"/>
      <x:c r="F96" s="12"/>
      <x:c r="G96" s="14"/>
      <x:c r="H96" s="12"/>
    </x:row>
    <x:row r="97">
      <x:c r="A97" s="12"/>
      <x:c r="B97" s="12"/>
      <x:c r="C97" s="12"/>
      <x:c r="D97" s="12"/>
      <x:c r="E97" s="12"/>
      <x:c r="F97" s="12"/>
      <x:c r="G97" s="14"/>
      <x:c r="H97" s="12"/>
    </x:row>
    <x:row r="98">
      <x:c r="A98" s="12"/>
      <x:c r="B98" s="12"/>
      <x:c r="C98" s="12"/>
      <x:c r="D98" s="12"/>
      <x:c r="E98" s="12"/>
      <x:c r="F98" s="12"/>
      <x:c r="G98" s="14"/>
      <x:c r="H98" s="12"/>
    </x:row>
    <x:row r="99">
      <x:c r="A99" s="12"/>
      <x:c r="B99" s="12"/>
      <x:c r="C99" s="12"/>
      <x:c r="D99" s="12"/>
      <x:c r="E99" s="12"/>
      <x:c r="F99" s="12"/>
      <x:c r="G99" s="14"/>
      <x:c r="H99" s="12"/>
    </x:row>
    <x:row r="100">
      <x:c r="A100" s="12"/>
      <x:c r="B100" s="12"/>
      <x:c r="C100" s="12"/>
      <x:c r="D100" s="12"/>
      <x:c r="E100" s="12"/>
      <x:c r="F100" s="12"/>
      <x:c r="G100" s="14"/>
      <x:c r="H100" s="12"/>
    </x:row>
  </x:sheetData>
  <x:dataValidations count="1">
    <x:dataValidation type="list" sqref="D2:D100">
      <x:formula1>"Pass,Fail,Pending,N/A"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ac26c560014e33"/>
  </x:tableParts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Categories</x:v>
      </x:c>
      <x:c r="C1" t="str">
        <x:v>Response</x:v>
      </x:c>
      <x:c r="D1" t="str">
        <x:v>Meaning</x:v>
      </x:c>
    </x:row>
    <x:row r="2">
      <x:c r="A2" t="str">
        <x:v>Scope &amp; Change Control</x:v>
      </x:c>
      <x:c r="C2" t="str">
        <x:v>Pass</x:v>
      </x:c>
      <x:c r="D2" t="str">
        <x:v>Evidence confirms the requirement is satisfied.</x:v>
      </x:c>
    </x:row>
    <x:row r="3">
      <x:c r="A3" t="str">
        <x:v>Source Control &amp; Recovery</x:v>
      </x:c>
      <x:c r="C3" t="str">
        <x:v>Fail</x:v>
      </x:c>
      <x:c r="D3" t="str">
        <x:v>Evidence confirms the requirement is not satisfied.</x:v>
      </x:c>
    </x:row>
    <x:row r="4">
      <x:c r="A4" t="str">
        <x:v>Functional Correctness</x:v>
      </x:c>
      <x:c r="C4" t="str">
        <x:v>Unknown</x:v>
      </x:c>
      <x:c r="D4" t="str">
        <x:v>The requirement has not been verified.</x:v>
      </x:c>
    </x:row>
    <x:row r="5">
      <x:c r="A5" t="str">
        <x:v>Authentication &amp; Authorization</x:v>
      </x:c>
      <x:c r="C5" t="str">
        <x:v>N/A</x:v>
      </x:c>
      <x:c r="D5" t="str">
        <x:v>The requirement genuinely does not apply.</x:v>
      </x:c>
    </x:row>
    <x:row r="6">
      <x:c r="A6" t="str">
        <x:v>Data &amp; Privacy</x:v>
      </x:c>
      <x:c r="C6" t="str">
        <x:v>Rule</x:v>
      </x:c>
      <x:c r="D6" t="str">
        <x:v>Unknown is treated as zero until verified.</x:v>
      </x:c>
    </x:row>
    <x:row r="7">
      <x:c r="A7" t="str">
        <x:v>Secrets &amp; Dependencies</x:v>
      </x:c>
    </x:row>
    <x:row r="8">
      <x:c r="A8" t="str">
        <x:v>Input, Output &amp; AI Safety</x:v>
      </x:c>
    </x:row>
    <x:row r="9">
      <x:c r="A9" t="str">
        <x:v>Error Handling &amp; Observability</x:v>
      </x:c>
    </x:row>
    <x:row r="10">
      <x:c r="A10" t="str">
        <x:v>Deployment &amp; Operations</x:v>
      </x:c>
    </x:row>
    <x:row r="11">
      <x:c r="A11" t="str">
        <x:v>Agent Control &amp; Evidence</x:v>
      </x:c>
    </x:row>
  </x:sheetData>
  <x:pageMargins left="0.7" right="0.7" top="0.75" bottom="0.75" header="0.3" footer="0.3"/>
</x:worksheet>
</file>